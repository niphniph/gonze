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სახელმძღვანელო" sheetId="1" r:id="rId5"/>
    <sheet state="visible" name="მაგალითი" sheetId="2" r:id="rId6"/>
    <sheet state="visible" name="Copy of მაგალითი" sheetId="3" r:id="rId7"/>
    <sheet state="visible" name="კვირეული" sheetId="4" r:id="rId8"/>
  </sheets>
  <definedNames/>
  <calcPr/>
</workbook>
</file>

<file path=xl/sharedStrings.xml><?xml version="1.0" encoding="utf-8"?>
<sst xmlns="http://schemas.openxmlformats.org/spreadsheetml/2006/main" count="614" uniqueCount="94">
  <si>
    <t>1) "კვირეული " ფურცელზე ორჯერ დააწკაპუნეთ უჯრედზე G10 (ზედა მარცხნივ) და აირჩიეთ თქვენი კვირის დასაწყისის თარიღი.</t>
  </si>
  <si>
    <t>2) "კვირეული" ფურცელზე შეიტანეთ დავალებები ყოველი დღისთვის. განათავსეთ თქვენი პირველი ამოცანა b25 უჯრედში და გააგრძელეთ სვეტის შევსება ზემოდან ქვემოდან. თქვენ შეგიძლიათ დაგეგმოთ ამოცანები ერთი დღის განმავლობაში ან მთელი კვირის განმავლობაში ერთდროულად. დაგეგმვის ფორმატი თქვენზეა დამოკიდებული-თქვენ ყოველთვის შეგიძლიათ შეცვალოთ სია, დაამატოთ ან წაშალოთ ამოცანები.</t>
  </si>
  <si>
    <t>3) დღის ბოლოს, კვირაში, ან როდესაც მოსახერხებელია, გადახედეთ რამდენად კარგად მოახერხეთ დაგეგმილი ამოცანების შესრულება. თუ დავალება დასრულდა, შეამოწმეთ იგი შესაბამის ჩამრთველში. თქვენ ნახავთ ჩამონტაჟებულ სქემებს ფურცელზე ავტომატურად განახლდება, აჩვენებს თქვენს პროგრესს ამოცანების შესრულებისას.</t>
  </si>
  <si>
    <t>4) ზედა მარჯვენა კუთხეში, ფურცელზე „კვირეული“, თქვენ იპოვით ჩვევების ტრეკერს. მისი გამოყენება არჩევითია. ტრეკერი გაძლევთ შესაძლებლობას აკონტროლოთ 8-მდე ჩვევა კვირის თითოეული დღისთვის. თვალთვალის პერიოდი ავტომატურად სინქრონიზდება თქვენს დამგეგმავთან არჩეული დაწყების თარიღის მიხედვით. ეს განსაკუთრებით მოსახერხებელია განმეორებითი ამოცანებისთვის, რადგან აღარ არის საჭირო მათი ხელით შეყვანა ყოველდღიურად</t>
  </si>
  <si>
    <t>5) ფურცელი ასევე მოიცავს შენიშვნებისა და მოკლე ჟურნალის ჩანაწერების ადგილს.
გადადით ქვემოთ, რომ ნახოთ შემდეგი სექციები:
ა) ჩანაწერი: აქ შეგიძლიათ დატოვოთ ნებისმიერი შეხსენება ან აზრი დღიდან.
ბ) რა შეიძლება გაუმჯობესდეს?: იფიქრეთ იმაზე, თუ როგორ გახადოთ ხვალ უფრო პროდუქტიული.
გ)რისთვის ვარ მადლიერი?: გაითვალისწინეთ ის, რისი მადლიერიც იყავით.</t>
  </si>
  <si>
    <t>მზადაა! ახლა თქვენ გაქვთ ტრეკერის საკუთარი ასლი, რომ იმუშაოთ და მოირგოთ.
გამოიყენეთ ტრეკერი ყოველდღე და უყურეთ, თუ როგორ იწვევს მცირე ნაბიჯები დიდ შედეგებს!
თუ თქვენ გაქვთ რაიმე შეკითხვები, მოგვწერეთ.</t>
  </si>
  <si>
    <t>დანებება უფრო რთულია ვიდრე ცდა</t>
  </si>
  <si>
    <t>საერთო პროგრესი</t>
  </si>
  <si>
    <t>ჩვევების ტრეკერი</t>
  </si>
  <si>
    <t>ჩვევები</t>
  </si>
  <si>
    <t>პროგრესი</t>
  </si>
  <si>
    <t>გაიღვიძე 06:00</t>
  </si>
  <si>
    <t>0 ალკოჰოლი</t>
  </si>
  <si>
    <t>ცივი აბაზანა</t>
  </si>
  <si>
    <t>1 საათი სოცქსელებში</t>
  </si>
  <si>
    <t>ბიუჯეტის კონტროლი</t>
  </si>
  <si>
    <t>ვარჯიში</t>
  </si>
  <si>
    <t>კვირის დასაწყისი</t>
  </si>
  <si>
    <t>კითხვა</t>
  </si>
  <si>
    <t>ინგლისური</t>
  </si>
  <si>
    <t>დავალებები</t>
  </si>
  <si>
    <t>შექმენი განვითარების გეგმა</t>
  </si>
  <si>
    <t>პირადი ფინანსების ორგანიზება</t>
  </si>
  <si>
    <t>მწვრთნელის აყვანა</t>
  </si>
  <si>
    <t>გადაიღე კადრები</t>
  </si>
  <si>
    <t>მეილის შემოწმება</t>
  </si>
  <si>
    <t>პოსტი კომპანიის შესახებ სოციალურ მედიაში</t>
  </si>
  <si>
    <t>გააკეთეთ რედაქტირება ბიზნეს წინადადებაზე</t>
  </si>
  <si>
    <t>რგოლების სკრიპტი</t>
  </si>
  <si>
    <t>დაწერეთ 10 იდეა</t>
  </si>
  <si>
    <t>კვირის პროდუქტების ყიდვა</t>
  </si>
  <si>
    <t>მორწყე ყვავილი</t>
  </si>
  <si>
    <t>უპასუხე მეილებს</t>
  </si>
  <si>
    <t>განაახლე დავალებების სია</t>
  </si>
  <si>
    <t>დაამტკიცეთ კანდიდატი HR-თან</t>
  </si>
  <si>
    <t>გააანალიზეთ მარკეტინგის ანგარიში</t>
  </si>
  <si>
    <t>მოამზადეთ ბიზნეს წინადადება</t>
  </si>
  <si>
    <t>სახლის დალაგება</t>
  </si>
  <si>
    <t>შეხვდი ძმაკაცს</t>
  </si>
  <si>
    <t>გადახედეთ ფინანსურ ანგარიშს</t>
  </si>
  <si>
    <t>დასუფთავების მომსახურება</t>
  </si>
  <si>
    <t>მარკეტის კვლევა</t>
  </si>
  <si>
    <t>დასრულება პროექტი</t>
  </si>
  <si>
    <t>გადახედეთ გამოწერებს</t>
  </si>
  <si>
    <t>ექიმთან მისვლა</t>
  </si>
  <si>
    <t>საიტის განახლება</t>
  </si>
  <si>
    <t>გუნდური შეხვედრა</t>
  </si>
  <si>
    <t>დეკლარაციების განხილვა</t>
  </si>
  <si>
    <t>კონკურენტების კვლევა</t>
  </si>
  <si>
    <t>დააყენეთ ვებსაიტის ტრაფიკი</t>
  </si>
  <si>
    <t>სამუშაო სივრცის დალაგება</t>
  </si>
  <si>
    <t>შეიძინეთ ვიტამინები</t>
  </si>
  <si>
    <t>ხარჯების და შემოსავლის გადახედვა</t>
  </si>
  <si>
    <t>გადასახადებსი გადახდა</t>
  </si>
  <si>
    <t>დაურეკე გიორგი</t>
  </si>
  <si>
    <t>შეამოწმეთ გაყიდვები</t>
  </si>
  <si>
    <t>დიზაინის დამტკიცება</t>
  </si>
  <si>
    <t>განაახლე დარბაზის წევრობა</t>
  </si>
  <si>
    <t>შესრულებული</t>
  </si>
  <si>
    <t>დარჩენილი</t>
  </si>
  <si>
    <t>ჩანაწერები</t>
  </si>
  <si>
    <t>1.</t>
  </si>
  <si>
    <t>პური იყიდე სახლისკენ გზაზე</t>
  </si>
  <si>
    <t>დარეგისტრირდით მართვის გაკვეთილებზე</t>
  </si>
  <si>
    <t>ინტერნეტი გადაიხადე</t>
  </si>
  <si>
    <t>2.</t>
  </si>
  <si>
    <t>მეგობრებს შეხვდი 7ზე</t>
  </si>
  <si>
    <t>3.</t>
  </si>
  <si>
    <t>რა შეიძლება გავაუმჯობესოთ?</t>
  </si>
  <si>
    <t>Start with the hardest task</t>
  </si>
  <si>
    <t>შემდეგი დღე დაგეგმე</t>
  </si>
  <si>
    <t>ნოტეფიკაციების გამორთვა</t>
  </si>
  <si>
    <t>Start working earlier</t>
  </si>
  <si>
    <t>მეტი წყალის მიღება</t>
  </si>
  <si>
    <t>მადლიერება</t>
  </si>
  <si>
    <t>სწრაფი მიწოდება</t>
  </si>
  <si>
    <t>მყუდრო საღამო სახლში</t>
  </si>
  <si>
    <t>გემრიელი სადილი კაფეში</t>
  </si>
  <si>
    <t>კარგი წიგნი</t>
  </si>
  <si>
    <t>Day 1</t>
  </si>
  <si>
    <t>Day 2</t>
  </si>
  <si>
    <t>Day 3</t>
  </si>
  <si>
    <t>Day 4</t>
  </si>
  <si>
    <t>Day 5</t>
  </si>
  <si>
    <t>Day 6</t>
  </si>
  <si>
    <t>Day 7</t>
  </si>
  <si>
    <t>🏆</t>
  </si>
  <si>
    <t>Status</t>
  </si>
  <si>
    <t>Count</t>
  </si>
  <si>
    <t>Completed</t>
  </si>
  <si>
    <t>Outstanding</t>
  </si>
  <si>
    <t>Overall pie chart</t>
  </si>
  <si>
    <t>Bar chart</t>
  </si>
  <si>
    <t>Day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</si>
</sst>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5">
    <font>
      <sz val="10.0"/>
      <color rgb="FF000000"/>
      <name val="Arial"/>
      <scheme val="minor"/>
    </font>
    <font>
      <sz val="12.0"/>
      <color theme="1"/>
      <name val="Arial"/>
      <scheme val="minor"/>
    </font>
    <font>
      <sz val="15.0"/>
      <color theme="1"/>
      <name val="Arial"/>
    </font>
    <font>
      <color theme="1"/>
      <name val="Arial"/>
      <scheme val="minor"/>
    </font>
    <font>
      <b/>
      <sz val="17.0"/>
      <color rgb="FF666666"/>
      <name val="Arial"/>
      <scheme val="minor"/>
    </font>
    <font>
      <sz val="17.0"/>
      <color rgb="FF666666"/>
      <name val="Arial"/>
      <scheme val="minor"/>
    </font>
    <font>
      <b/>
      <sz val="13.0"/>
      <color rgb="FFFFFFFF"/>
      <name val="Arial"/>
      <scheme val="minor"/>
    </font>
    <font/>
    <font>
      <color rgb="FF434343"/>
      <name val="Arial"/>
      <scheme val="minor"/>
    </font>
    <font>
      <sz val="22.0"/>
      <color rgb="FF434343"/>
      <name val="Arial"/>
      <scheme val="minor"/>
    </font>
    <font>
      <b/>
      <sz val="11.0"/>
      <color rgb="FFA61C00"/>
      <name val="Arial"/>
      <scheme val="minor"/>
    </font>
    <font>
      <color rgb="FF666666"/>
      <name val="Arial"/>
      <scheme val="minor"/>
    </font>
    <font>
      <color rgb="FF980000"/>
      <name val="Arial"/>
      <scheme val="minor"/>
    </font>
    <font>
      <b/>
      <sz val="12.0"/>
      <color rgb="FFFFFFFF"/>
      <name val="Arial"/>
      <scheme val="minor"/>
    </font>
    <font>
      <b/>
      <sz val="12.0"/>
      <color rgb="FF666666"/>
      <name val="Arial"/>
      <scheme val="minor"/>
    </font>
    <font>
      <b/>
      <sz val="12.0"/>
      <color rgb="FF434343"/>
      <name val="Arial"/>
      <scheme val="minor"/>
    </font>
    <font>
      <b/>
      <sz val="15.0"/>
      <color rgb="FFFFFFFF"/>
      <name val="Arial"/>
      <scheme val="minor"/>
    </font>
    <font>
      <b/>
      <sz val="15.0"/>
      <color theme="1"/>
      <name val="Arial"/>
      <scheme val="minor"/>
    </font>
    <font>
      <color rgb="FFFFFFFF"/>
      <name val="Arial"/>
      <scheme val="minor"/>
    </font>
    <font>
      <b/>
      <sz val="10.0"/>
      <color rgb="FFFFFFFF"/>
      <name val="Arial"/>
      <scheme val="minor"/>
    </font>
    <font>
      <sz val="9.0"/>
      <color rgb="FF434343"/>
      <name val="Arial"/>
      <scheme val="minor"/>
    </font>
    <font>
      <color rgb="FFB6D7A8"/>
      <name val="Arial"/>
      <scheme val="minor"/>
    </font>
    <font>
      <b/>
      <color rgb="FFFFFFFF"/>
      <name val="Arial"/>
      <scheme val="minor"/>
    </font>
    <font>
      <color theme="1"/>
      <name val="Arial"/>
    </font>
    <font>
      <b/>
      <color theme="1"/>
      <name val="Arial"/>
    </font>
  </fonts>
  <fills count="6">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A61C00"/>
        <bgColor rgb="FFA61C00"/>
      </patternFill>
    </fill>
    <fill>
      <patternFill patternType="solid">
        <fgColor rgb="FFEFEFEF"/>
        <bgColor rgb="FFEFEFEF"/>
      </patternFill>
    </fill>
  </fills>
  <borders count="24">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rder>
    <border>
      <right style="thin">
        <color rgb="FFFFFFFF"/>
      </right>
    </border>
    <border>
      <left style="thin">
        <color rgb="FFEFEFEF"/>
      </left>
      <top style="thin">
        <color rgb="FFEFEFEF"/>
      </top>
      <bottom style="thin">
        <color rgb="FFEFEFEF"/>
      </bottom>
    </border>
    <border>
      <top style="thin">
        <color rgb="FFEFEFEF"/>
      </top>
      <bottom style="thin">
        <color rgb="FFEFEFEF"/>
      </bottom>
    </border>
    <border>
      <right style="thin">
        <color rgb="FFEFEFEF"/>
      </right>
      <top style="thin">
        <color rgb="FFEFEFEF"/>
      </top>
      <bottom style="thin">
        <color rgb="FFEFEFEF"/>
      </bottom>
    </border>
    <border>
      <left style="thin">
        <color rgb="FFEFEFEF"/>
      </left>
      <right style="thin">
        <color rgb="FFEFEFEF"/>
      </right>
      <top style="thin">
        <color rgb="FFEFEFEF"/>
      </top>
      <bottom style="thin">
        <color rgb="FFEFEFEF"/>
      </bottom>
    </border>
    <border>
      <bottom style="thin">
        <color rgb="FFD9D9D9"/>
      </bottom>
    </border>
    <border>
      <left style="thin">
        <color rgb="FFFFFFFF"/>
      </left>
      <bottom style="thin">
        <color rgb="FFFFFFFF"/>
      </bottom>
    </border>
    <border>
      <bottom style="thin">
        <color rgb="FFFFFFFF"/>
      </bottom>
    </border>
    <border>
      <right style="thin">
        <color rgb="FFFFFFFF"/>
      </right>
      <bottom style="thin">
        <color rgb="FFFFFFFF"/>
      </bottom>
    </border>
    <border>
      <left style="thick">
        <color rgb="FFFFFFFF"/>
      </left>
      <top style="thick">
        <color rgb="FFFFFFFF"/>
      </top>
    </border>
    <border>
      <top style="thick">
        <color rgb="FFFFFFFF"/>
      </top>
    </border>
    <border>
      <right style="thick">
        <color rgb="FFFFFFFF"/>
      </right>
      <top style="thick">
        <color rgb="FFFFFFFF"/>
      </top>
    </border>
    <border>
      <left style="thick">
        <color rgb="FFFFFFFF"/>
      </left>
    </border>
    <border>
      <right style="thick">
        <color rgb="FFFFFFFF"/>
      </right>
    </border>
    <border>
      <left style="thick">
        <color rgb="FFFFFFFF"/>
      </left>
      <bottom style="thick">
        <color rgb="FFFFFFFF"/>
      </bottom>
    </border>
    <border>
      <bottom style="thick">
        <color rgb="FFFFFFFF"/>
      </bottom>
    </border>
    <border>
      <right style="thick">
        <color rgb="FFFFFFFF"/>
      </right>
      <bottom style="thick">
        <color rgb="FFFFFFFF"/>
      </bottom>
    </border>
    <border>
      <left style="thick">
        <color rgb="FFFFFFFF"/>
      </left>
      <bottom style="thin">
        <color rgb="FFD9D9D9"/>
      </bottom>
    </border>
    <border>
      <right style="thick">
        <color rgb="FFFFFFFF"/>
      </right>
      <bottom style="thin">
        <color rgb="FFD9D9D9"/>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horizontal="center" shrinkToFit="0" wrapText="1"/>
    </xf>
    <xf borderId="0" fillId="0" fontId="2" numFmtId="0" xfId="0" applyAlignment="1" applyFont="1">
      <alignment horizontal="center" readingOrder="0" shrinkToFit="0" wrapText="1"/>
    </xf>
    <xf borderId="0" fillId="2" fontId="3" numFmtId="0" xfId="0" applyFill="1" applyFont="1"/>
    <xf borderId="0" fillId="3" fontId="4" numFmtId="0" xfId="0" applyAlignment="1" applyFill="1" applyFont="1">
      <alignment horizontal="center" readingOrder="0" shrinkToFit="0" vertical="center" wrapText="1"/>
    </xf>
    <xf borderId="0" fillId="2" fontId="5" numFmtId="0" xfId="0" applyAlignment="1" applyFont="1">
      <alignment horizontal="center" readingOrder="0" shrinkToFit="0" vertical="center" wrapText="1"/>
    </xf>
    <xf borderId="1" fillId="4" fontId="6" numFmtId="0" xfId="0" applyAlignment="1" applyBorder="1" applyFill="1" applyFont="1">
      <alignment horizontal="center" readingOrder="0" vertical="center"/>
    </xf>
    <xf borderId="2" fillId="0" fontId="7" numFmtId="0" xfId="0" applyBorder="1" applyFont="1"/>
    <xf borderId="3" fillId="0" fontId="7" numFmtId="0" xfId="0" applyBorder="1" applyFont="1"/>
    <xf borderId="0" fillId="2" fontId="8" numFmtId="0" xfId="0" applyFont="1"/>
    <xf borderId="0" fillId="4" fontId="6" numFmtId="0" xfId="0" applyAlignment="1" applyFont="1">
      <alignment horizontal="center" readingOrder="0" vertical="center"/>
    </xf>
    <xf borderId="4" fillId="3" fontId="8" numFmtId="0" xfId="0" applyBorder="1" applyFont="1"/>
    <xf borderId="0" fillId="3" fontId="8" numFmtId="0" xfId="0" applyFont="1"/>
    <xf borderId="0" fillId="3" fontId="9" numFmtId="9" xfId="0" applyAlignment="1" applyFont="1" applyNumberFormat="1">
      <alignment horizontal="center" vertical="center"/>
    </xf>
    <xf borderId="5" fillId="0" fontId="7" numFmtId="0" xfId="0" applyBorder="1" applyFont="1"/>
    <xf borderId="6" fillId="3" fontId="10" numFmtId="0" xfId="0" applyAlignment="1" applyBorder="1" applyFont="1">
      <alignment horizontal="center" readingOrder="0" vertical="center"/>
    </xf>
    <xf borderId="7" fillId="0" fontId="7" numFmtId="0" xfId="0" applyBorder="1" applyFont="1"/>
    <xf borderId="8" fillId="0" fontId="7" numFmtId="0" xfId="0" applyBorder="1" applyFont="1"/>
    <xf borderId="9" fillId="3" fontId="11" numFmtId="0" xfId="0" applyBorder="1" applyFont="1"/>
    <xf borderId="6" fillId="3" fontId="8" numFmtId="0" xfId="0" applyAlignment="1" applyBorder="1" applyFont="1">
      <alignment horizontal="center" readingOrder="0" vertical="center"/>
    </xf>
    <xf borderId="9" fillId="3" fontId="12" numFmtId="0" xfId="0" applyAlignment="1" applyBorder="1" applyFont="1">
      <alignment readingOrder="0"/>
    </xf>
    <xf borderId="6" fillId="3" fontId="11" numFmtId="0" xfId="0" applyBorder="1" applyFont="1"/>
    <xf borderId="6" fillId="3" fontId="11" numFmtId="9" xfId="0" applyAlignment="1" applyBorder="1" applyFont="1" applyNumberFormat="1">
      <alignment horizontal="center" vertical="center"/>
    </xf>
    <xf borderId="10" fillId="0" fontId="7" numFmtId="0" xfId="0" applyBorder="1" applyFont="1"/>
    <xf borderId="9" fillId="3" fontId="12" numFmtId="0" xfId="0" applyBorder="1" applyFont="1"/>
    <xf borderId="0" fillId="4" fontId="13" numFmtId="0" xfId="0" applyAlignment="1" applyFont="1">
      <alignment horizontal="center" readingOrder="0" vertical="center"/>
    </xf>
    <xf borderId="0" fillId="3" fontId="14" numFmtId="164" xfId="0" applyAlignment="1" applyFont="1" applyNumberFormat="1">
      <alignment horizontal="center" readingOrder="0" vertical="center"/>
    </xf>
    <xf borderId="0" fillId="2" fontId="15" numFmtId="164" xfId="0" applyAlignment="1" applyFont="1" applyNumberFormat="1">
      <alignment horizontal="center" readingOrder="0" vertical="center"/>
    </xf>
    <xf borderId="0" fillId="3" fontId="11" numFmtId="0" xfId="0" applyAlignment="1" applyFont="1">
      <alignment horizontal="center"/>
    </xf>
    <xf borderId="11" fillId="3" fontId="8" numFmtId="0" xfId="0" applyBorder="1" applyFont="1"/>
    <xf borderId="12" fillId="3" fontId="8" numFmtId="0" xfId="0" applyBorder="1" applyFont="1"/>
    <xf borderId="13" fillId="3" fontId="8" numFmtId="0" xfId="0" applyBorder="1" applyFont="1"/>
    <xf borderId="14" fillId="4" fontId="16" numFmtId="164" xfId="0" applyAlignment="1" applyBorder="1" applyFont="1" applyNumberFormat="1">
      <alignment horizontal="center" vertical="center"/>
    </xf>
    <xf borderId="15" fillId="0" fontId="7" numFmtId="0" xfId="0" applyBorder="1" applyFont="1"/>
    <xf borderId="16" fillId="0" fontId="7" numFmtId="0" xfId="0" applyBorder="1" applyFont="1"/>
    <xf borderId="0" fillId="2" fontId="11" numFmtId="0" xfId="0" applyFont="1"/>
    <xf borderId="0" fillId="2" fontId="17" numFmtId="0" xfId="0" applyAlignment="1" applyFont="1">
      <alignment horizontal="center" vertical="center"/>
    </xf>
    <xf borderId="17" fillId="0" fontId="7" numFmtId="0" xfId="0" applyBorder="1" applyFont="1"/>
    <xf borderId="18" fillId="0" fontId="7" numFmtId="0" xfId="0" applyBorder="1" applyFont="1"/>
    <xf borderId="17" fillId="4" fontId="18" numFmtId="164" xfId="0" applyAlignment="1" applyBorder="1" applyFont="1" applyNumberFormat="1">
      <alignment horizontal="center" vertical="center"/>
    </xf>
    <xf borderId="17" fillId="3" fontId="5" numFmtId="9" xfId="0" applyAlignment="1" applyBorder="1" applyFont="1" applyNumberFormat="1">
      <alignment horizontal="center" vertical="center"/>
    </xf>
    <xf borderId="19" fillId="0" fontId="7" numFmtId="0" xfId="0" applyBorder="1" applyFont="1"/>
    <xf borderId="20" fillId="0" fontId="7" numFmtId="0" xfId="0" applyBorder="1" applyFont="1"/>
    <xf borderId="21" fillId="0" fontId="7" numFmtId="0" xfId="0" applyBorder="1" applyFont="1"/>
    <xf borderId="14" fillId="4" fontId="19" numFmtId="0" xfId="0" applyAlignment="1" applyBorder="1" applyFont="1">
      <alignment horizontal="center" readingOrder="0" vertical="center"/>
    </xf>
    <xf borderId="22" fillId="3" fontId="20" numFmtId="0" xfId="0" applyAlignment="1" applyBorder="1" applyFont="1">
      <alignment readingOrder="0"/>
    </xf>
    <xf borderId="23" fillId="3" fontId="21" numFmtId="0" xfId="0" applyAlignment="1" applyBorder="1" applyFont="1">
      <alignment readingOrder="0"/>
    </xf>
    <xf borderId="17" fillId="4" fontId="18" numFmtId="0" xfId="0" applyAlignment="1" applyBorder="1" applyFont="1">
      <alignment horizontal="center" readingOrder="0" vertical="center"/>
    </xf>
    <xf borderId="0" fillId="4" fontId="18" numFmtId="0" xfId="0" applyAlignment="1" applyFont="1">
      <alignment horizontal="center" vertical="center"/>
    </xf>
    <xf borderId="0" fillId="2" fontId="8" numFmtId="0" xfId="0" applyAlignment="1" applyFont="1">
      <alignment horizontal="center" vertical="center"/>
    </xf>
    <xf borderId="19" fillId="4" fontId="18" numFmtId="0" xfId="0" applyAlignment="1" applyBorder="1" applyFont="1">
      <alignment horizontal="center" readingOrder="0" vertical="center"/>
    </xf>
    <xf borderId="20" fillId="4" fontId="18" numFmtId="0" xfId="0" applyAlignment="1" applyBorder="1" applyFont="1">
      <alignment horizontal="center" vertical="center"/>
    </xf>
    <xf borderId="14" fillId="4" fontId="22" numFmtId="0" xfId="0" applyAlignment="1" applyBorder="1" applyFont="1">
      <alignment horizontal="center" readingOrder="0" vertical="center"/>
    </xf>
    <xf borderId="22" fillId="3" fontId="8" numFmtId="0" xfId="0" applyAlignment="1" applyBorder="1" applyFont="1">
      <alignment horizontal="right" readingOrder="0"/>
    </xf>
    <xf borderId="10" fillId="3" fontId="8" numFmtId="0" xfId="0" applyAlignment="1" applyBorder="1" applyFont="1">
      <alignment readingOrder="0"/>
    </xf>
    <xf borderId="23" fillId="0" fontId="7" numFmtId="0" xfId="0" applyBorder="1" applyFont="1"/>
    <xf borderId="10" fillId="3" fontId="8" numFmtId="0" xfId="0" applyBorder="1" applyFont="1"/>
    <xf borderId="17" fillId="4" fontId="22" numFmtId="0" xfId="0" applyAlignment="1" applyBorder="1" applyFont="1">
      <alignment horizontal="center" readingOrder="0" vertical="center"/>
    </xf>
    <xf borderId="0" fillId="5" fontId="23" numFmtId="0" xfId="0" applyAlignment="1" applyFill="1" applyFont="1">
      <alignment vertical="bottom"/>
    </xf>
    <xf borderId="0" fillId="0" fontId="3" numFmtId="0" xfId="0" applyAlignment="1" applyFont="1">
      <alignment readingOrder="0"/>
    </xf>
    <xf borderId="0" fillId="0" fontId="3" numFmtId="0" xfId="0" applyFont="1"/>
    <xf borderId="0" fillId="5" fontId="24" numFmtId="0" xfId="0" applyAlignment="1" applyFont="1">
      <alignment vertical="bottom"/>
    </xf>
    <xf borderId="0" fillId="5" fontId="23" numFmtId="0" xfId="0" applyAlignment="1" applyFont="1">
      <alignment horizontal="right" vertical="bottom"/>
    </xf>
  </cellXfs>
  <cellStyles count="1">
    <cellStyle xfId="0" name="Normal" builtinId="0"/>
  </cellStyles>
  <dxfs count="2">
    <dxf>
      <font>
        <color rgb="FFB7B7B7"/>
      </font>
      <fill>
        <patternFill patternType="none"/>
      </fill>
      <border/>
    </dxf>
    <dxf>
      <font>
        <strike/>
        <color rgb="FF999999"/>
      </font>
      <fill>
        <patternFill patternType="solid">
          <fgColor rgb="FFE6B8AF"/>
          <bgColor rgb="FFE6B8A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'მაგალითი'!$D$69</c:f>
            </c:strRef>
          </c:tx>
          <c:spPr>
            <a:solidFill>
              <a:srgbClr val="A61C00"/>
            </a:solidFill>
            <a:ln cmpd="sng">
              <a:solidFill>
                <a:srgbClr val="000000"/>
              </a:solidFill>
            </a:ln>
          </c:spPr>
          <c:cat>
            <c:strRef>
              <c:f>'მაგალითი'!$C$70:$C$76</c:f>
            </c:strRef>
          </c:cat>
          <c:val>
            <c:numRef>
              <c:f>'მაგალითი'!$D$70:$D$76</c:f>
              <c:numCache/>
            </c:numRef>
          </c:val>
        </c:ser>
        <c:ser>
          <c:idx val="1"/>
          <c:order val="1"/>
          <c:tx>
            <c:strRef>
              <c:f>'მაგალითი'!$E$69</c:f>
            </c:strRef>
          </c:tx>
          <c:spPr>
            <a:solidFill>
              <a:srgbClr val="E6B8AF"/>
            </a:solidFill>
            <a:ln cmpd="sng">
              <a:solidFill>
                <a:srgbClr val="000000"/>
              </a:solidFill>
            </a:ln>
          </c:spPr>
          <c:cat>
            <c:strRef>
              <c:f>'მაგალითი'!$C$70:$C$76</c:f>
            </c:strRef>
          </c:cat>
          <c:val>
            <c:numRef>
              <c:f>'მაგალითი'!$E$70:$E$76</c:f>
              <c:numCache/>
            </c:numRef>
          </c:val>
        </c:ser>
        <c:overlap val="100"/>
        <c:axId val="1303021365"/>
        <c:axId val="1192175002"/>
      </c:barChart>
      <c:catAx>
        <c:axId val="13030213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92175002"/>
      </c:catAx>
      <c:valAx>
        <c:axId val="11921750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666666"/>
                    </a:solidFill>
                    <a:latin typeface="+mn-lt"/>
                  </a:defRPr>
                </a:pPr>
                <a:r>
                  <a:rPr b="0">
                    <a:solidFill>
                      <a:srgbClr val="666666"/>
                    </a:solidFill>
                    <a:latin typeface="+mn-lt"/>
                  </a:rPr>
                  <a:t>დავალებები</a:t>
                </a:r>
              </a:p>
            </c:rich>
          </c:tx>
          <c:layout>
            <c:manualLayout>
              <c:xMode val="edge"/>
              <c:yMode val="edge"/>
              <c:x val="0.055451996652774366"/>
              <c:y val="0.0711310029612156"/>
            </c:manualLayout>
          </c:layout>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03021365"/>
      </c:valAx>
    </c:plotArea>
    <c:plotVisOnly val="0"/>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'Copy of მაგალითი'!$D$69</c:f>
            </c:strRef>
          </c:tx>
          <c:spPr>
            <a:solidFill>
              <a:srgbClr val="A61C00"/>
            </a:solidFill>
            <a:ln cmpd="sng">
              <a:solidFill>
                <a:srgbClr val="000000"/>
              </a:solidFill>
            </a:ln>
          </c:spPr>
          <c:cat>
            <c:strRef>
              <c:f>'Copy of მაგალითი'!$C$70:$C$76</c:f>
            </c:strRef>
          </c:cat>
          <c:val>
            <c:numRef>
              <c:f>'Copy of მაგალითი'!$D$70:$D$76</c:f>
              <c:numCache/>
            </c:numRef>
          </c:val>
        </c:ser>
        <c:ser>
          <c:idx val="1"/>
          <c:order val="1"/>
          <c:tx>
            <c:strRef>
              <c:f>'Copy of მაგალითი'!$E$69</c:f>
            </c:strRef>
          </c:tx>
          <c:spPr>
            <a:solidFill>
              <a:srgbClr val="E6B8AF"/>
            </a:solidFill>
            <a:ln cmpd="sng">
              <a:solidFill>
                <a:srgbClr val="000000"/>
              </a:solidFill>
            </a:ln>
          </c:spPr>
          <c:cat>
            <c:strRef>
              <c:f>'Copy of მაგალითი'!$C$70:$C$76</c:f>
            </c:strRef>
          </c:cat>
          <c:val>
            <c:numRef>
              <c:f>'Copy of მაგალითი'!$E$70:$E$76</c:f>
              <c:numCache/>
            </c:numRef>
          </c:val>
        </c:ser>
        <c:overlap val="100"/>
        <c:axId val="1035251620"/>
        <c:axId val="113575119"/>
      </c:barChart>
      <c:catAx>
        <c:axId val="10352516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3575119"/>
      </c:catAx>
      <c:valAx>
        <c:axId val="1135751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666666"/>
                    </a:solidFill>
                    <a:latin typeface="+mn-lt"/>
                  </a:defRPr>
                </a:pPr>
                <a:r>
                  <a:rPr b="0">
                    <a:solidFill>
                      <a:srgbClr val="666666"/>
                    </a:solidFill>
                    <a:latin typeface="+mn-lt"/>
                  </a:rPr>
                  <a:t>დავალებები</a:t>
                </a:r>
              </a:p>
            </c:rich>
          </c:tx>
          <c:layout>
            <c:manualLayout>
              <c:xMode val="edge"/>
              <c:yMode val="edge"/>
              <c:x val="0.055451996652774366"/>
              <c:y val="0.0711310029612156"/>
            </c:manualLayout>
          </c:layout>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35251620"/>
      </c:valAx>
    </c:plotArea>
    <c:plotVisOnly val="0"/>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'კვირეული'!$D$69</c:f>
            </c:strRef>
          </c:tx>
          <c:spPr>
            <a:solidFill>
              <a:srgbClr val="A61C00"/>
            </a:solidFill>
            <a:ln cmpd="sng">
              <a:solidFill>
                <a:srgbClr val="000000"/>
              </a:solidFill>
            </a:ln>
          </c:spPr>
          <c:cat>
            <c:strRef>
              <c:f>'კვირეული'!$C$70:$C$76</c:f>
            </c:strRef>
          </c:cat>
          <c:val>
            <c:numRef>
              <c:f>'კვირეული'!$D$70:$D$76</c:f>
              <c:numCache/>
            </c:numRef>
          </c:val>
        </c:ser>
        <c:ser>
          <c:idx val="1"/>
          <c:order val="1"/>
          <c:tx>
            <c:strRef>
              <c:f>'კვირეული'!$E$69</c:f>
            </c:strRef>
          </c:tx>
          <c:spPr>
            <a:solidFill>
              <a:srgbClr val="E6B8AF"/>
            </a:solidFill>
            <a:ln cmpd="sng">
              <a:solidFill>
                <a:srgbClr val="000000"/>
              </a:solidFill>
            </a:ln>
          </c:spPr>
          <c:cat>
            <c:strRef>
              <c:f>'კვირეული'!$C$70:$C$76</c:f>
            </c:strRef>
          </c:cat>
          <c:val>
            <c:numRef>
              <c:f>'კვირეული'!$E$70:$E$76</c:f>
              <c:numCache/>
            </c:numRef>
          </c:val>
        </c:ser>
        <c:overlap val="100"/>
        <c:axId val="1900347637"/>
        <c:axId val="1594011448"/>
      </c:barChart>
      <c:catAx>
        <c:axId val="19003476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94011448"/>
      </c:catAx>
      <c:valAx>
        <c:axId val="15940114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666666"/>
                    </a:solidFill>
                    <a:latin typeface="+mn-lt"/>
                  </a:defRPr>
                </a:pPr>
                <a:r>
                  <a:rPr b="0">
                    <a:solidFill>
                      <a:srgbClr val="666666"/>
                    </a:solidFill>
                    <a:latin typeface="+mn-lt"/>
                  </a:rPr>
                  <a:t>დავალებები</a:t>
                </a:r>
              </a:p>
            </c:rich>
          </c:tx>
          <c:layout>
            <c:manualLayout>
              <c:xMode val="edge"/>
              <c:yMode val="edge"/>
              <c:x val="0.055451996652774366"/>
              <c:y val="0.0711310029612156"/>
            </c:manualLayout>
          </c:layout>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00347637"/>
      </c:valAx>
    </c:plotArea>
    <c:plotVisOnly val="0"/>
  </c:chart>
  <c:spPr>
    <a:solidFill>
      <a:srgbClr val="FFFFFF">
        <a:alpha val="0"/>
      </a:srgbClr>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5.png"/><Relationship Id="rId3" Type="http://schemas.openxmlformats.org/officeDocument/2006/relationships/image" Target="../media/image4.png"/><Relationship Id="rId4" Type="http://schemas.openxmlformats.org/officeDocument/2006/relationships/image" Target="../media/image1.png"/><Relationship Id="rId5"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5.png"/><Relationship Id="rId4" Type="http://schemas.openxmlformats.org/officeDocument/2006/relationships/image" Target="../media/Chart6.png"/><Relationship Id="rId5" Type="http://schemas.openxmlformats.org/officeDocument/2006/relationships/image" Target="../media/Chart7.png"/><Relationship Id="rId6" Type="http://schemas.openxmlformats.org/officeDocument/2006/relationships/image" Target="../media/Chart8.png"/><Relationship Id="rId7"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Chart10.png"/><Relationship Id="rId2" Type="http://schemas.openxmlformats.org/officeDocument/2006/relationships/image" Target="../media/Chart1.png"/><Relationship Id="rId3" Type="http://schemas.openxmlformats.org/officeDocument/2006/relationships/image" Target="../media/Chart12.png"/><Relationship Id="rId4" Type="http://schemas.openxmlformats.org/officeDocument/2006/relationships/image" Target="../media/Chart17.png"/><Relationship Id="rId5"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Chart19.png"/><Relationship Id="rId2" Type="http://schemas.openxmlformats.org/officeDocument/2006/relationships/image" Target="../media/Chart26.png"/><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133350</xdr:colOff>
      <xdr:row>2</xdr:row>
      <xdr:rowOff>152400</xdr:rowOff>
    </xdr:from>
    <xdr:ext cx="3857625" cy="39147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304800</xdr:colOff>
      <xdr:row>27</xdr:row>
      <xdr:rowOff>19050</xdr:rowOff>
    </xdr:from>
    <xdr:ext cx="5953125" cy="3000375"/>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304800</xdr:colOff>
      <xdr:row>46</xdr:row>
      <xdr:rowOff>66675</xdr:rowOff>
    </xdr:from>
    <xdr:ext cx="5629275" cy="3962400"/>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257175</xdr:colOff>
      <xdr:row>72</xdr:row>
      <xdr:rowOff>19050</xdr:rowOff>
    </xdr:from>
    <xdr:ext cx="5410200" cy="2095500"/>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66675</xdr:colOff>
      <xdr:row>84</xdr:row>
      <xdr:rowOff>114300</xdr:rowOff>
    </xdr:from>
    <xdr:ext cx="3857625" cy="2362200"/>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180975</xdr:colOff>
      <xdr:row>15</xdr:row>
      <xdr:rowOff>38100</xdr:rowOff>
    </xdr:from>
    <xdr:ext cx="1438275" cy="1314450"/>
    <xdr:pic>
      <xdr:nvPicPr>
        <xdr:cNvPr id="2029434522" name="Chart1"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200025</xdr:colOff>
      <xdr:row>15</xdr:row>
      <xdr:rowOff>38100</xdr:rowOff>
    </xdr:from>
    <xdr:ext cx="1438275" cy="1314450"/>
    <xdr:pic>
      <xdr:nvPicPr>
        <xdr:cNvPr id="2073862795" name="Chart2" title="Диаграмма">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209550</xdr:colOff>
      <xdr:row>15</xdr:row>
      <xdr:rowOff>38100</xdr:rowOff>
    </xdr:from>
    <xdr:ext cx="1438275" cy="1314450"/>
    <xdr:pic>
      <xdr:nvPicPr>
        <xdr:cNvPr id="476120824" name="Chart3"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25</xdr:col>
      <xdr:colOff>200025</xdr:colOff>
      <xdr:row>15</xdr:row>
      <xdr:rowOff>38100</xdr:rowOff>
    </xdr:from>
    <xdr:ext cx="1438275" cy="1314450"/>
    <xdr:pic>
      <xdr:nvPicPr>
        <xdr:cNvPr id="98902906" name="Chart4"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33</xdr:col>
      <xdr:colOff>190500</xdr:colOff>
      <xdr:row>15</xdr:row>
      <xdr:rowOff>38100</xdr:rowOff>
    </xdr:from>
    <xdr:ext cx="1438275" cy="1314450"/>
    <xdr:pic>
      <xdr:nvPicPr>
        <xdr:cNvPr id="22607820" name="Chart5" title="Диаграмма">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41</xdr:col>
      <xdr:colOff>209550</xdr:colOff>
      <xdr:row>15</xdr:row>
      <xdr:rowOff>38100</xdr:rowOff>
    </xdr:from>
    <xdr:ext cx="1438275" cy="1314450"/>
    <xdr:pic>
      <xdr:nvPicPr>
        <xdr:cNvPr id="1175343611" name="Chart6" title="Диаграмма">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49</xdr:col>
      <xdr:colOff>180975</xdr:colOff>
      <xdr:row>15</xdr:row>
      <xdr:rowOff>38100</xdr:rowOff>
    </xdr:from>
    <xdr:ext cx="1438275" cy="1314450"/>
    <xdr:pic>
      <xdr:nvPicPr>
        <xdr:cNvPr id="699509446" name="Chart7" title="Диаграмма">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27</xdr:col>
      <xdr:colOff>152400</xdr:colOff>
      <xdr:row>2</xdr:row>
      <xdr:rowOff>28575</xdr:rowOff>
    </xdr:from>
    <xdr:ext cx="1362075" cy="1314450"/>
    <xdr:pic>
      <xdr:nvPicPr>
        <xdr:cNvPr id="1907979799" name="Chart8" title="Диаграмма">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11</xdr:col>
      <xdr:colOff>104775</xdr:colOff>
      <xdr:row>1</xdr:row>
      <xdr:rowOff>190500</xdr:rowOff>
    </xdr:from>
    <xdr:ext cx="3886200" cy="1847850"/>
    <xdr:graphicFrame>
      <xdr:nvGraphicFramePr>
        <xdr:cNvPr id="9" name="Chart 9" title="Диаграмма"/>
        <xdr:cNvGraphicFramePr/>
      </xdr:nvGraphicFramePr>
      <xdr:xfrm>
        <a:off x="0" y="0"/>
        <a:ext cx="0" cy="0"/>
      </xdr:xfrm>
      <a:graphic>
        <a:graphicData uri="http://schemas.openxmlformats.org/drawingml/2006/chart">
          <c:chart r:id="rId7"/>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180975</xdr:colOff>
      <xdr:row>15</xdr:row>
      <xdr:rowOff>38100</xdr:rowOff>
    </xdr:from>
    <xdr:ext cx="1438275" cy="1314450"/>
    <xdr:pic>
      <xdr:nvPicPr>
        <xdr:cNvPr id="11742011" name="Chart10"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200025</xdr:colOff>
      <xdr:row>15</xdr:row>
      <xdr:rowOff>38100</xdr:rowOff>
    </xdr:from>
    <xdr:ext cx="1438275" cy="1314450"/>
    <xdr:pic>
      <xdr:nvPicPr>
        <xdr:cNvPr id="1734586563" name="Chart11" title="Диаграмма">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209550</xdr:colOff>
      <xdr:row>15</xdr:row>
      <xdr:rowOff>38100</xdr:rowOff>
    </xdr:from>
    <xdr:ext cx="1438275" cy="1314450"/>
    <xdr:pic>
      <xdr:nvPicPr>
        <xdr:cNvPr id="767859992" name="Chart12" title="Диаграмма">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25</xdr:col>
      <xdr:colOff>200025</xdr:colOff>
      <xdr:row>15</xdr:row>
      <xdr:rowOff>38100</xdr:rowOff>
    </xdr:from>
    <xdr:ext cx="1438275" cy="1314450"/>
    <xdr:pic>
      <xdr:nvPicPr>
        <xdr:cNvPr id="397785605" name="Chart13" title="Диаграмма">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33</xdr:col>
      <xdr:colOff>190500</xdr:colOff>
      <xdr:row>15</xdr:row>
      <xdr:rowOff>38100</xdr:rowOff>
    </xdr:from>
    <xdr:ext cx="1438275" cy="1314450"/>
    <xdr:pic>
      <xdr:nvPicPr>
        <xdr:cNvPr id="1700290407" name="Chart14" title="Диаграмма">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41</xdr:col>
      <xdr:colOff>209550</xdr:colOff>
      <xdr:row>15</xdr:row>
      <xdr:rowOff>38100</xdr:rowOff>
    </xdr:from>
    <xdr:ext cx="1438275" cy="1314450"/>
    <xdr:pic>
      <xdr:nvPicPr>
        <xdr:cNvPr id="2046987927" name="Chart15" title="Диаграмма">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49</xdr:col>
      <xdr:colOff>180975</xdr:colOff>
      <xdr:row>15</xdr:row>
      <xdr:rowOff>38100</xdr:rowOff>
    </xdr:from>
    <xdr:ext cx="1438275" cy="1314450"/>
    <xdr:pic>
      <xdr:nvPicPr>
        <xdr:cNvPr id="1848838195" name="Chart16" title="Диаграмма">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27</xdr:col>
      <xdr:colOff>152400</xdr:colOff>
      <xdr:row>2</xdr:row>
      <xdr:rowOff>28575</xdr:rowOff>
    </xdr:from>
    <xdr:ext cx="1362075" cy="1314450"/>
    <xdr:pic>
      <xdr:nvPicPr>
        <xdr:cNvPr id="1381714246" name="Chart17" title="Диаграмма">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104775</xdr:colOff>
      <xdr:row>1</xdr:row>
      <xdr:rowOff>190500</xdr:rowOff>
    </xdr:from>
    <xdr:ext cx="3886200" cy="1847850"/>
    <xdr:graphicFrame>
      <xdr:nvGraphicFramePr>
        <xdr:cNvPr id="18" name="Chart 18" title="Диаграмма"/>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180975</xdr:colOff>
      <xdr:row>15</xdr:row>
      <xdr:rowOff>38100</xdr:rowOff>
    </xdr:from>
    <xdr:ext cx="1438275" cy="1314450"/>
    <xdr:pic>
      <xdr:nvPicPr>
        <xdr:cNvPr id="559816668" name="Chart19"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200025</xdr:colOff>
      <xdr:row>15</xdr:row>
      <xdr:rowOff>38100</xdr:rowOff>
    </xdr:from>
    <xdr:ext cx="1438275" cy="1314450"/>
    <xdr:pic>
      <xdr:nvPicPr>
        <xdr:cNvPr id="177316084" name="Chart20"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209550</xdr:colOff>
      <xdr:row>15</xdr:row>
      <xdr:rowOff>38100</xdr:rowOff>
    </xdr:from>
    <xdr:ext cx="1438275" cy="1314450"/>
    <xdr:pic>
      <xdr:nvPicPr>
        <xdr:cNvPr id="480028371" name="Chart21"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25</xdr:col>
      <xdr:colOff>200025</xdr:colOff>
      <xdr:row>15</xdr:row>
      <xdr:rowOff>38100</xdr:rowOff>
    </xdr:from>
    <xdr:ext cx="1438275" cy="1314450"/>
    <xdr:pic>
      <xdr:nvPicPr>
        <xdr:cNvPr id="349727086" name="Chart22"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33</xdr:col>
      <xdr:colOff>190500</xdr:colOff>
      <xdr:row>15</xdr:row>
      <xdr:rowOff>38100</xdr:rowOff>
    </xdr:from>
    <xdr:ext cx="1438275" cy="1314450"/>
    <xdr:pic>
      <xdr:nvPicPr>
        <xdr:cNvPr id="1980919663" name="Chart23"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41</xdr:col>
      <xdr:colOff>209550</xdr:colOff>
      <xdr:row>15</xdr:row>
      <xdr:rowOff>38100</xdr:rowOff>
    </xdr:from>
    <xdr:ext cx="1438275" cy="1314450"/>
    <xdr:pic>
      <xdr:nvPicPr>
        <xdr:cNvPr id="1651261824" name="Chart24"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49</xdr:col>
      <xdr:colOff>180975</xdr:colOff>
      <xdr:row>15</xdr:row>
      <xdr:rowOff>38100</xdr:rowOff>
    </xdr:from>
    <xdr:ext cx="1438275" cy="1314450"/>
    <xdr:pic>
      <xdr:nvPicPr>
        <xdr:cNvPr id="904733043" name="Chart25"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27</xdr:col>
      <xdr:colOff>152400</xdr:colOff>
      <xdr:row>2</xdr:row>
      <xdr:rowOff>28575</xdr:rowOff>
    </xdr:from>
    <xdr:ext cx="1362075" cy="1314450"/>
    <xdr:pic>
      <xdr:nvPicPr>
        <xdr:cNvPr id="2098171062" name="Chart26" title="Диаграмма">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104775</xdr:colOff>
      <xdr:row>1</xdr:row>
      <xdr:rowOff>190500</xdr:rowOff>
    </xdr:from>
    <xdr:ext cx="3886200" cy="1847850"/>
    <xdr:graphicFrame>
      <xdr:nvGraphicFramePr>
        <xdr:cNvPr id="27" name="Chart 27" title="Диаграмма"/>
        <xdr:cNvGraphicFramePr/>
      </xdr:nvGraphicFramePr>
      <xdr:xfrm>
        <a:off x="0" y="0"/>
        <a:ext cx="0" cy="0"/>
      </xdr:xfrm>
      <a:graphic>
        <a:graphicData uri="http://schemas.openxmlformats.org/drawingml/2006/chart">
          <c:chart r:id="rId3"/>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88"/>
  </cols>
  <sheetData>
    <row r="2">
      <c r="B2" s="1" t="s">
        <v>0</v>
      </c>
    </row>
    <row r="24">
      <c r="B24" s="2" t="s">
        <v>1</v>
      </c>
    </row>
    <row r="43">
      <c r="B43" s="2" t="s">
        <v>2</v>
      </c>
    </row>
    <row r="67">
      <c r="B67" s="2" t="s">
        <v>3</v>
      </c>
    </row>
    <row r="84">
      <c r="B84" s="1" t="s">
        <v>4</v>
      </c>
    </row>
    <row r="94">
      <c r="B94" s="3"/>
      <c r="C94" s="3"/>
      <c r="D94" s="3"/>
      <c r="E94" s="3"/>
      <c r="F94" s="3"/>
      <c r="G94" s="3"/>
      <c r="H94" s="3"/>
    </row>
    <row r="95">
      <c r="B95" s="3"/>
      <c r="C95" s="3"/>
      <c r="D95" s="3"/>
      <c r="E95" s="3"/>
      <c r="F95" s="3"/>
      <c r="G95" s="3"/>
      <c r="H95" s="3"/>
    </row>
    <row r="96">
      <c r="B96" s="3"/>
      <c r="C96" s="3"/>
      <c r="D96" s="3"/>
      <c r="E96" s="3"/>
      <c r="F96" s="3"/>
      <c r="G96" s="3"/>
      <c r="H96" s="3"/>
    </row>
    <row r="97">
      <c r="B97" s="3"/>
      <c r="C97" s="3"/>
      <c r="D97" s="3"/>
      <c r="E97" s="3"/>
      <c r="F97" s="3"/>
      <c r="G97" s="3"/>
      <c r="H97" s="3"/>
    </row>
    <row r="98">
      <c r="B98" s="3"/>
      <c r="C98" s="3"/>
      <c r="D98" s="3"/>
      <c r="E98" s="3"/>
      <c r="F98" s="3"/>
      <c r="G98" s="3"/>
      <c r="H98" s="3"/>
    </row>
    <row r="99">
      <c r="B99" s="4" t="s">
        <v>5</v>
      </c>
    </row>
    <row r="100">
      <c r="B100" s="3"/>
      <c r="C100" s="3"/>
      <c r="D100" s="3"/>
      <c r="E100" s="3"/>
      <c r="F100" s="3"/>
      <c r="G100" s="3"/>
      <c r="H100" s="3"/>
    </row>
    <row r="101">
      <c r="B101" s="3"/>
      <c r="C101" s="3"/>
      <c r="D101" s="3"/>
      <c r="E101" s="3"/>
      <c r="F101" s="3"/>
      <c r="G101" s="3"/>
      <c r="H101" s="3"/>
    </row>
  </sheetData>
  <mergeCells count="4">
    <mergeCell ref="B24:J27"/>
    <mergeCell ref="B43:J46"/>
    <mergeCell ref="B67:J72"/>
    <mergeCell ref="B99:H9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8" width="3.63"/>
    <col customWidth="1" min="9" max="9" width="1.38"/>
    <col customWidth="1" min="10" max="16" width="3.63"/>
    <col customWidth="1" min="17" max="17" width="1.38"/>
    <col customWidth="1" min="18" max="24" width="3.63"/>
    <col customWidth="1" min="25" max="25" width="1.38"/>
    <col customWidth="1" min="26" max="32" width="3.63"/>
    <col customWidth="1" min="33" max="33" width="1.38"/>
    <col customWidth="1" min="34" max="40" width="3.63"/>
    <col customWidth="1" min="41" max="41" width="1.38"/>
    <col customWidth="1" min="42" max="48" width="3.88"/>
    <col customWidth="1" min="49" max="49" width="1.38"/>
    <col customWidth="1" min="50" max="57" width="3.63"/>
  </cols>
  <sheetData>
    <row r="1">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row>
    <row r="2">
      <c r="A2" s="5"/>
      <c r="B2" s="6" t="s">
        <v>6</v>
      </c>
      <c r="L2" s="7"/>
      <c r="M2" s="8" t="s">
        <v>7</v>
      </c>
      <c r="N2" s="9"/>
      <c r="O2" s="9"/>
      <c r="P2" s="9"/>
      <c r="Q2" s="9"/>
      <c r="R2" s="9"/>
      <c r="S2" s="9"/>
      <c r="T2" s="9"/>
      <c r="U2" s="9"/>
      <c r="V2" s="9"/>
      <c r="W2" s="9"/>
      <c r="X2" s="9"/>
      <c r="Y2" s="9"/>
      <c r="Z2" s="9"/>
      <c r="AA2" s="9"/>
      <c r="AB2" s="9"/>
      <c r="AC2" s="9"/>
      <c r="AD2" s="9"/>
      <c r="AE2" s="9"/>
      <c r="AF2" s="9"/>
      <c r="AG2" s="9"/>
      <c r="AH2" s="10"/>
      <c r="AI2" s="11"/>
      <c r="AJ2" s="12" t="s">
        <v>8</v>
      </c>
      <c r="BE2" s="5"/>
    </row>
    <row r="3">
      <c r="A3" s="5"/>
      <c r="L3" s="7"/>
      <c r="M3" s="13"/>
      <c r="N3" s="14"/>
      <c r="O3" s="14"/>
      <c r="P3" s="14"/>
      <c r="Q3" s="14"/>
      <c r="R3" s="14"/>
      <c r="S3" s="14"/>
      <c r="T3" s="14"/>
      <c r="U3" s="14"/>
      <c r="V3" s="14"/>
      <c r="W3" s="14"/>
      <c r="X3" s="14"/>
      <c r="Y3" s="14"/>
      <c r="Z3" s="14"/>
      <c r="AA3" s="14"/>
      <c r="AB3" s="15">
        <f>C65/(C66+C65)</f>
        <v>0.7567567568</v>
      </c>
      <c r="AH3" s="16"/>
      <c r="AI3" s="11"/>
      <c r="AJ3" s="17" t="s">
        <v>9</v>
      </c>
      <c r="AK3" s="18"/>
      <c r="AL3" s="18"/>
      <c r="AM3" s="18"/>
      <c r="AN3" s="18"/>
      <c r="AO3" s="19"/>
      <c r="AP3" s="20" t="str">
        <f>TEXT(B15,"ddd")</f>
        <v>Sun</v>
      </c>
      <c r="AQ3" s="20" t="str">
        <f>TEXT(J15,"ddd")</f>
        <v>Mon</v>
      </c>
      <c r="AR3" s="20" t="str">
        <f>TEXT(R15,"ddd")</f>
        <v>Tue</v>
      </c>
      <c r="AS3" s="20" t="str">
        <f>TEXT(Z15,"ddd")</f>
        <v>Wed</v>
      </c>
      <c r="AT3" s="20" t="str">
        <f>TEXT(AH15,"ddd")</f>
        <v>Thu</v>
      </c>
      <c r="AU3" s="20" t="str">
        <f>TEXT(AP15,"ddd")</f>
        <v>Fri</v>
      </c>
      <c r="AV3" s="20" t="str">
        <f>TEXT(AX15,"ddd")</f>
        <v>Sat</v>
      </c>
      <c r="AW3" s="17" t="s">
        <v>10</v>
      </c>
      <c r="AX3" s="18"/>
      <c r="AY3" s="18"/>
      <c r="AZ3" s="18"/>
      <c r="BA3" s="18"/>
      <c r="BB3" s="18"/>
      <c r="BC3" s="18"/>
      <c r="BD3" s="19"/>
      <c r="BE3" s="5"/>
    </row>
    <row r="4">
      <c r="A4" s="5"/>
      <c r="L4" s="7"/>
      <c r="M4" s="13"/>
      <c r="N4" s="14"/>
      <c r="O4" s="14"/>
      <c r="P4" s="14"/>
      <c r="Q4" s="14"/>
      <c r="R4" s="14"/>
      <c r="S4" s="14"/>
      <c r="T4" s="14"/>
      <c r="U4" s="14"/>
      <c r="V4" s="14"/>
      <c r="W4" s="14"/>
      <c r="X4" s="14"/>
      <c r="Y4" s="14"/>
      <c r="Z4" s="14"/>
      <c r="AA4" s="14"/>
      <c r="AH4" s="16"/>
      <c r="AI4" s="11"/>
      <c r="AJ4" s="21" t="s">
        <v>11</v>
      </c>
      <c r="AK4" s="18"/>
      <c r="AL4" s="18"/>
      <c r="AM4" s="18"/>
      <c r="AN4" s="18"/>
      <c r="AO4" s="19"/>
      <c r="AP4" s="22" t="b">
        <v>1</v>
      </c>
      <c r="AQ4" s="22" t="b">
        <v>1</v>
      </c>
      <c r="AR4" s="22" t="b">
        <v>1</v>
      </c>
      <c r="AS4" s="22" t="b">
        <v>1</v>
      </c>
      <c r="AT4" s="22" t="b">
        <v>0</v>
      </c>
      <c r="AU4" s="22" t="b">
        <v>0</v>
      </c>
      <c r="AV4" s="22" t="b">
        <v>0</v>
      </c>
      <c r="AW4" s="23" t="str">
        <f>IFERROR(__xludf.DUMMYFUNCTION("SPARKLINE(COUNTIF(AP4:AV4,TRUE),{""charttype"",""bar"";""max"",7;""color1"",""#a61c00"";""empty"",""ignore""})"),"")</f>
        <v/>
      </c>
      <c r="AX4" s="18"/>
      <c r="AY4" s="18"/>
      <c r="AZ4" s="18"/>
      <c r="BA4" s="18"/>
      <c r="BB4" s="19"/>
      <c r="BC4" s="24">
        <f t="shared" ref="BC4:BC11" si="1">IF(COUNTIF(AP4:AV4,TRUE)/7=1,""&amp;$Z$58,COUNTIF(AP4:AV4,TRUE)/7)</f>
        <v>0.5714285714</v>
      </c>
      <c r="BD4" s="19"/>
      <c r="BE4" s="5"/>
    </row>
    <row r="5">
      <c r="A5" s="5"/>
      <c r="L5" s="7"/>
      <c r="M5" s="13"/>
      <c r="N5" s="14"/>
      <c r="O5" s="14"/>
      <c r="P5" s="14"/>
      <c r="Q5" s="14"/>
      <c r="R5" s="14"/>
      <c r="S5" s="14"/>
      <c r="T5" s="14"/>
      <c r="U5" s="14"/>
      <c r="V5" s="14"/>
      <c r="W5" s="14"/>
      <c r="X5" s="14"/>
      <c r="Y5" s="14"/>
      <c r="Z5" s="14"/>
      <c r="AA5" s="14"/>
      <c r="AH5" s="16"/>
      <c r="AI5" s="11"/>
      <c r="AJ5" s="21" t="s">
        <v>12</v>
      </c>
      <c r="AK5" s="18"/>
      <c r="AL5" s="18"/>
      <c r="AM5" s="18"/>
      <c r="AN5" s="18"/>
      <c r="AO5" s="19"/>
      <c r="AP5" s="22" t="b">
        <v>1</v>
      </c>
      <c r="AQ5" s="22" t="b">
        <v>1</v>
      </c>
      <c r="AR5" s="22" t="b">
        <v>1</v>
      </c>
      <c r="AS5" s="22" t="b">
        <v>1</v>
      </c>
      <c r="AT5" s="22" t="b">
        <v>1</v>
      </c>
      <c r="AU5" s="22" t="b">
        <v>1</v>
      </c>
      <c r="AV5" s="22" t="b">
        <v>1</v>
      </c>
      <c r="AW5" s="23" t="str">
        <f>IFERROR(__xludf.DUMMYFUNCTION("SPARKLINE(COUNTIF(AP5:AV5,TRUE),{""charttype"",""bar"";""max"",7;""color1"",""#a61c00"";""empty"",""ignore""})"),"")</f>
        <v/>
      </c>
      <c r="AX5" s="18"/>
      <c r="AY5" s="18"/>
      <c r="AZ5" s="18"/>
      <c r="BA5" s="18"/>
      <c r="BB5" s="19"/>
      <c r="BC5" s="24" t="str">
        <f t="shared" si="1"/>
        <v>🏆</v>
      </c>
      <c r="BD5" s="19"/>
      <c r="BE5" s="5"/>
    </row>
    <row r="6">
      <c r="A6" s="5"/>
      <c r="L6" s="7"/>
      <c r="M6" s="13"/>
      <c r="N6" s="14"/>
      <c r="O6" s="14"/>
      <c r="P6" s="14"/>
      <c r="Q6" s="14"/>
      <c r="R6" s="14"/>
      <c r="S6" s="14"/>
      <c r="T6" s="14"/>
      <c r="U6" s="14"/>
      <c r="V6" s="14"/>
      <c r="W6" s="14"/>
      <c r="X6" s="14"/>
      <c r="Y6" s="14"/>
      <c r="Z6" s="14"/>
      <c r="AA6" s="14"/>
      <c r="AH6" s="16"/>
      <c r="AI6" s="11"/>
      <c r="AJ6" s="21" t="s">
        <v>13</v>
      </c>
      <c r="AK6" s="18"/>
      <c r="AL6" s="18"/>
      <c r="AM6" s="18"/>
      <c r="AN6" s="18"/>
      <c r="AO6" s="19"/>
      <c r="AP6" s="22" t="b">
        <v>1</v>
      </c>
      <c r="AQ6" s="22" t="b">
        <v>1</v>
      </c>
      <c r="AR6" s="22" t="b">
        <v>1</v>
      </c>
      <c r="AS6" s="22" t="b">
        <v>1</v>
      </c>
      <c r="AT6" s="22" t="b">
        <v>0</v>
      </c>
      <c r="AU6" s="22" t="b">
        <v>0</v>
      </c>
      <c r="AV6" s="22" t="b">
        <v>0</v>
      </c>
      <c r="AW6" s="23" t="str">
        <f>IFERROR(__xludf.DUMMYFUNCTION("SPARKLINE(COUNTIF(AP6:AV6,TRUE),{""charttype"",""bar"";""max"",7;""color1"",""#a61c00"";""empty"",""ignore""})"),"")</f>
        <v/>
      </c>
      <c r="AX6" s="18"/>
      <c r="AY6" s="18"/>
      <c r="AZ6" s="18"/>
      <c r="BA6" s="18"/>
      <c r="BB6" s="19"/>
      <c r="BC6" s="24">
        <f t="shared" si="1"/>
        <v>0.5714285714</v>
      </c>
      <c r="BD6" s="19"/>
      <c r="BE6" s="5"/>
    </row>
    <row r="7">
      <c r="A7" s="5"/>
      <c r="L7" s="7"/>
      <c r="M7" s="13"/>
      <c r="N7" s="14"/>
      <c r="O7" s="14"/>
      <c r="P7" s="14"/>
      <c r="Q7" s="14"/>
      <c r="R7" s="14"/>
      <c r="S7" s="14"/>
      <c r="T7" s="14"/>
      <c r="U7" s="14"/>
      <c r="V7" s="14"/>
      <c r="W7" s="14"/>
      <c r="X7" s="14"/>
      <c r="Y7" s="14"/>
      <c r="Z7" s="14"/>
      <c r="AA7" s="14"/>
      <c r="AH7" s="16"/>
      <c r="AI7" s="11"/>
      <c r="AJ7" s="21" t="s">
        <v>14</v>
      </c>
      <c r="AK7" s="18"/>
      <c r="AL7" s="18"/>
      <c r="AM7" s="18"/>
      <c r="AN7" s="18"/>
      <c r="AO7" s="19"/>
      <c r="AP7" s="22" t="b">
        <v>0</v>
      </c>
      <c r="AQ7" s="22" t="b">
        <v>0</v>
      </c>
      <c r="AR7" s="22" t="b">
        <v>1</v>
      </c>
      <c r="AS7" s="22" t="b">
        <v>1</v>
      </c>
      <c r="AT7" s="22" t="b">
        <v>1</v>
      </c>
      <c r="AU7" s="22" t="b">
        <v>1</v>
      </c>
      <c r="AV7" s="22" t="b">
        <v>1</v>
      </c>
      <c r="AW7" s="23" t="str">
        <f>IFERROR(__xludf.DUMMYFUNCTION("SPARKLINE(COUNTIF(AP7:AV7,TRUE),{""charttype"",""bar"";""max"",7;""color1"",""#a61c00"";""empty"",""ignore""})"),"")</f>
        <v/>
      </c>
      <c r="AX7" s="18"/>
      <c r="AY7" s="18"/>
      <c r="AZ7" s="18"/>
      <c r="BA7" s="18"/>
      <c r="BB7" s="19"/>
      <c r="BC7" s="24">
        <f t="shared" si="1"/>
        <v>0.7142857143</v>
      </c>
      <c r="BD7" s="19"/>
      <c r="BE7" s="5"/>
    </row>
    <row r="8">
      <c r="A8" s="5"/>
      <c r="L8" s="7"/>
      <c r="M8" s="13"/>
      <c r="N8" s="14"/>
      <c r="O8" s="14"/>
      <c r="P8" s="14"/>
      <c r="Q8" s="14"/>
      <c r="R8" s="14"/>
      <c r="S8" s="14"/>
      <c r="T8" s="14"/>
      <c r="U8" s="14"/>
      <c r="V8" s="14"/>
      <c r="W8" s="14"/>
      <c r="X8" s="14"/>
      <c r="Y8" s="14"/>
      <c r="Z8" s="14"/>
      <c r="AA8" s="14"/>
      <c r="AH8" s="16"/>
      <c r="AI8" s="11"/>
      <c r="AJ8" s="21" t="s">
        <v>15</v>
      </c>
      <c r="AK8" s="18"/>
      <c r="AL8" s="18"/>
      <c r="AM8" s="18"/>
      <c r="AN8" s="18"/>
      <c r="AO8" s="19"/>
      <c r="AP8" s="22" t="b">
        <v>0</v>
      </c>
      <c r="AQ8" s="22" t="b">
        <v>1</v>
      </c>
      <c r="AR8" s="22" t="b">
        <v>1</v>
      </c>
      <c r="AS8" s="22" t="b">
        <v>1</v>
      </c>
      <c r="AT8" s="22" t="b">
        <v>1</v>
      </c>
      <c r="AU8" s="22" t="b">
        <v>1</v>
      </c>
      <c r="AV8" s="22" t="b">
        <v>1</v>
      </c>
      <c r="AW8" s="23" t="str">
        <f>IFERROR(__xludf.DUMMYFUNCTION("SPARKLINE(COUNTIF(AP8:AV8,TRUE),{""charttype"",""bar"";""max"",7;""color1"",""#a61c00"";""empty"",""ignore""})"),"")</f>
        <v/>
      </c>
      <c r="AX8" s="18"/>
      <c r="AY8" s="18"/>
      <c r="AZ8" s="18"/>
      <c r="BA8" s="18"/>
      <c r="BB8" s="19"/>
      <c r="BC8" s="24">
        <f t="shared" si="1"/>
        <v>0.8571428571</v>
      </c>
      <c r="BD8" s="19"/>
      <c r="BE8" s="5"/>
    </row>
    <row r="9">
      <c r="A9" s="5"/>
      <c r="B9" s="25"/>
      <c r="C9" s="25"/>
      <c r="D9" s="25"/>
      <c r="E9" s="25"/>
      <c r="F9" s="25"/>
      <c r="G9" s="25"/>
      <c r="H9" s="25"/>
      <c r="I9" s="25"/>
      <c r="J9" s="25"/>
      <c r="K9" s="25"/>
      <c r="L9" s="7"/>
      <c r="M9" s="13"/>
      <c r="N9" s="14"/>
      <c r="O9" s="14"/>
      <c r="P9" s="14"/>
      <c r="Q9" s="14"/>
      <c r="R9" s="14"/>
      <c r="S9" s="14"/>
      <c r="T9" s="14"/>
      <c r="U9" s="14"/>
      <c r="V9" s="14"/>
      <c r="W9" s="14"/>
      <c r="X9" s="14"/>
      <c r="Y9" s="14"/>
      <c r="Z9" s="14"/>
      <c r="AA9" s="14"/>
      <c r="AH9" s="16"/>
      <c r="AI9" s="11"/>
      <c r="AJ9" s="21" t="s">
        <v>16</v>
      </c>
      <c r="AK9" s="18"/>
      <c r="AL9" s="18"/>
      <c r="AM9" s="18"/>
      <c r="AN9" s="18"/>
      <c r="AO9" s="19"/>
      <c r="AP9" s="22" t="b">
        <v>1</v>
      </c>
      <c r="AQ9" s="26" t="b">
        <v>0</v>
      </c>
      <c r="AR9" s="22" t="b">
        <v>1</v>
      </c>
      <c r="AS9" s="26" t="b">
        <v>0</v>
      </c>
      <c r="AT9" s="22" t="b">
        <v>1</v>
      </c>
      <c r="AU9" s="22" t="b">
        <v>1</v>
      </c>
      <c r="AV9" s="22" t="b">
        <v>1</v>
      </c>
      <c r="AW9" s="23" t="str">
        <f>IFERROR(__xludf.DUMMYFUNCTION("SPARKLINE(COUNTIF(AP9:AV9,TRUE),{""charttype"",""bar"";""max"",7;""color1"",""#a61c00"";""empty"",""ignore""})"),"")</f>
        <v/>
      </c>
      <c r="AX9" s="18"/>
      <c r="AY9" s="18"/>
      <c r="AZ9" s="18"/>
      <c r="BA9" s="18"/>
      <c r="BB9" s="19"/>
      <c r="BC9" s="24">
        <f t="shared" si="1"/>
        <v>0.7142857143</v>
      </c>
      <c r="BD9" s="19"/>
      <c r="BE9" s="5"/>
    </row>
    <row r="10">
      <c r="A10" s="5"/>
      <c r="B10" s="27" t="s">
        <v>17</v>
      </c>
      <c r="G10" s="28">
        <v>46026.0</v>
      </c>
      <c r="L10" s="29"/>
      <c r="M10" s="13"/>
      <c r="N10" s="14"/>
      <c r="O10" s="14"/>
      <c r="P10" s="14"/>
      <c r="Q10" s="14"/>
      <c r="R10" s="14"/>
      <c r="S10" s="14"/>
      <c r="T10" s="14"/>
      <c r="U10" s="14"/>
      <c r="V10" s="14"/>
      <c r="W10" s="14"/>
      <c r="X10" s="14"/>
      <c r="Y10" s="14"/>
      <c r="Z10" s="14"/>
      <c r="AA10" s="14"/>
      <c r="AB10" s="30" t="str">
        <f>C65&amp;" / "&amp;(C66+C65)&amp;" შესრულებული"</f>
        <v>28 / 37 შესრულებული</v>
      </c>
      <c r="AH10" s="16"/>
      <c r="AI10" s="11"/>
      <c r="AJ10" s="21" t="s">
        <v>18</v>
      </c>
      <c r="AK10" s="18"/>
      <c r="AL10" s="18"/>
      <c r="AM10" s="18"/>
      <c r="AN10" s="18"/>
      <c r="AO10" s="19"/>
      <c r="AP10" s="22" t="b">
        <v>1</v>
      </c>
      <c r="AQ10" s="22" t="b">
        <v>1</v>
      </c>
      <c r="AR10" s="22" t="b">
        <v>1</v>
      </c>
      <c r="AS10" s="22" t="b">
        <v>1</v>
      </c>
      <c r="AT10" s="22" t="b">
        <v>1</v>
      </c>
      <c r="AU10" s="26" t="b">
        <v>0</v>
      </c>
      <c r="AV10" s="22" t="b">
        <v>1</v>
      </c>
      <c r="AW10" s="23" t="str">
        <f>IFERROR(__xludf.DUMMYFUNCTION("SPARKLINE(COUNTIF(AP10:AV10,TRUE),{""charttype"",""bar"";""max"",7;""color1"",""#a61c00"";""empty"",""ignore""})"),"")</f>
        <v/>
      </c>
      <c r="AX10" s="18"/>
      <c r="AY10" s="18"/>
      <c r="AZ10" s="18"/>
      <c r="BA10" s="18"/>
      <c r="BB10" s="19"/>
      <c r="BC10" s="24">
        <f t="shared" si="1"/>
        <v>0.8571428571</v>
      </c>
      <c r="BD10" s="19"/>
      <c r="BE10" s="5"/>
    </row>
    <row r="11">
      <c r="A11" s="5"/>
      <c r="L11" s="29"/>
      <c r="M11" s="31"/>
      <c r="N11" s="32"/>
      <c r="O11" s="32"/>
      <c r="P11" s="32"/>
      <c r="Q11" s="32"/>
      <c r="R11" s="32"/>
      <c r="S11" s="32"/>
      <c r="T11" s="32"/>
      <c r="U11" s="32"/>
      <c r="V11" s="32"/>
      <c r="W11" s="32"/>
      <c r="X11" s="32"/>
      <c r="Y11" s="32"/>
      <c r="Z11" s="32"/>
      <c r="AA11" s="32"/>
      <c r="AB11" s="32"/>
      <c r="AC11" s="32"/>
      <c r="AD11" s="32"/>
      <c r="AE11" s="32"/>
      <c r="AF11" s="32"/>
      <c r="AG11" s="32"/>
      <c r="AH11" s="33"/>
      <c r="AI11" s="11"/>
      <c r="AJ11" s="21" t="s">
        <v>19</v>
      </c>
      <c r="AK11" s="18"/>
      <c r="AL11" s="18"/>
      <c r="AM11" s="18"/>
      <c r="AN11" s="18"/>
      <c r="AO11" s="19"/>
      <c r="AP11" s="22" t="b">
        <v>1</v>
      </c>
      <c r="AQ11" s="26" t="b">
        <v>0</v>
      </c>
      <c r="AR11" s="22" t="b">
        <v>1</v>
      </c>
      <c r="AS11" s="22" t="b">
        <v>1</v>
      </c>
      <c r="AT11" s="22" t="b">
        <v>1</v>
      </c>
      <c r="AU11" s="26" t="b">
        <v>0</v>
      </c>
      <c r="AV11" s="22" t="b">
        <v>1</v>
      </c>
      <c r="AW11" s="23" t="str">
        <f>IFERROR(__xludf.DUMMYFUNCTION("SPARKLINE(COUNTIF(AP11:AV11,TRUE),{""charttype"",""bar"";""max"",7;""color1"",""#a61c00"";""empty"",""ignore""})"),"")</f>
        <v/>
      </c>
      <c r="AX11" s="18"/>
      <c r="AY11" s="18"/>
      <c r="AZ11" s="18"/>
      <c r="BA11" s="18"/>
      <c r="BB11" s="19"/>
      <c r="BC11" s="24">
        <f t="shared" si="1"/>
        <v>0.7142857143</v>
      </c>
      <c r="BD11" s="19"/>
      <c r="BE11" s="5"/>
    </row>
    <row r="12">
      <c r="A12" s="5"/>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5"/>
    </row>
    <row r="13">
      <c r="A13" s="5"/>
      <c r="B13" s="34" t="str">
        <f>TEXT(B15,"dddd")</f>
        <v>Sunday</v>
      </c>
      <c r="C13" s="35"/>
      <c r="D13" s="35"/>
      <c r="E13" s="35"/>
      <c r="F13" s="35"/>
      <c r="G13" s="35"/>
      <c r="H13" s="36"/>
      <c r="I13" s="37"/>
      <c r="J13" s="34" t="str">
        <f>TEXT(J15,"dddd")</f>
        <v>Monday</v>
      </c>
      <c r="K13" s="35"/>
      <c r="L13" s="35"/>
      <c r="M13" s="35"/>
      <c r="N13" s="35"/>
      <c r="O13" s="35"/>
      <c r="P13" s="36"/>
      <c r="Q13" s="37"/>
      <c r="R13" s="34" t="str">
        <f>TEXT(R15,"dddd")</f>
        <v>Tuesday</v>
      </c>
      <c r="S13" s="35"/>
      <c r="T13" s="35"/>
      <c r="U13" s="35"/>
      <c r="V13" s="35"/>
      <c r="W13" s="35"/>
      <c r="X13" s="36"/>
      <c r="Y13" s="37"/>
      <c r="Z13" s="34" t="str">
        <f>TEXT(Z15,"dddd")</f>
        <v>Wednesday</v>
      </c>
      <c r="AA13" s="35"/>
      <c r="AB13" s="35"/>
      <c r="AC13" s="35"/>
      <c r="AD13" s="35"/>
      <c r="AE13" s="35"/>
      <c r="AF13" s="36"/>
      <c r="AG13" s="37"/>
      <c r="AH13" s="34" t="str">
        <f>TEXT(AH15,"dddd")</f>
        <v>Thursday</v>
      </c>
      <c r="AI13" s="35"/>
      <c r="AJ13" s="35"/>
      <c r="AK13" s="35"/>
      <c r="AL13" s="35"/>
      <c r="AM13" s="35"/>
      <c r="AN13" s="36"/>
      <c r="AO13" s="37"/>
      <c r="AP13" s="34" t="str">
        <f>TEXT(AP15,"dddd")</f>
        <v>Friday</v>
      </c>
      <c r="AQ13" s="35"/>
      <c r="AR13" s="35"/>
      <c r="AS13" s="35"/>
      <c r="AT13" s="35"/>
      <c r="AU13" s="35"/>
      <c r="AV13" s="36"/>
      <c r="AW13" s="37"/>
      <c r="AX13" s="34" t="str">
        <f>TEXT(AX15,"dddd")</f>
        <v>Saturday</v>
      </c>
      <c r="AY13" s="35"/>
      <c r="AZ13" s="35"/>
      <c r="BA13" s="35"/>
      <c r="BB13" s="35"/>
      <c r="BC13" s="35"/>
      <c r="BD13" s="36"/>
      <c r="BE13" s="38"/>
    </row>
    <row r="14">
      <c r="A14" s="5"/>
      <c r="B14" s="39"/>
      <c r="H14" s="40"/>
      <c r="I14" s="37"/>
      <c r="J14" s="39"/>
      <c r="P14" s="40"/>
      <c r="Q14" s="37"/>
      <c r="R14" s="39"/>
      <c r="X14" s="40"/>
      <c r="Y14" s="37"/>
      <c r="Z14" s="39"/>
      <c r="AF14" s="40"/>
      <c r="AG14" s="37"/>
      <c r="AH14" s="39"/>
      <c r="AN14" s="40"/>
      <c r="AO14" s="37"/>
      <c r="AP14" s="39"/>
      <c r="AV14" s="40"/>
      <c r="AW14" s="37"/>
      <c r="AX14" s="39"/>
      <c r="BD14" s="40"/>
      <c r="BE14" s="38"/>
    </row>
    <row r="15" ht="30.75" customHeight="1">
      <c r="A15" s="5"/>
      <c r="B15" s="41">
        <f>G10</f>
        <v>46026</v>
      </c>
      <c r="H15" s="40"/>
      <c r="I15" s="37"/>
      <c r="J15" s="41">
        <f>
B15+1</f>
        <v>46027</v>
      </c>
      <c r="P15" s="40"/>
      <c r="Q15" s="37"/>
      <c r="R15" s="41">
        <f>B15+2</f>
        <v>46028</v>
      </c>
      <c r="X15" s="40"/>
      <c r="Y15" s="37"/>
      <c r="Z15" s="41">
        <f>B15+3</f>
        <v>46029</v>
      </c>
      <c r="AF15" s="40"/>
      <c r="AG15" s="37"/>
      <c r="AH15" s="41">
        <f>B15+4</f>
        <v>46030</v>
      </c>
      <c r="AN15" s="40"/>
      <c r="AO15" s="37"/>
      <c r="AP15" s="41">
        <f>B15+5</f>
        <v>46031</v>
      </c>
      <c r="AV15" s="40"/>
      <c r="AW15" s="37"/>
      <c r="AX15" s="41">
        <f>B15+6</f>
        <v>46032</v>
      </c>
      <c r="BD15" s="40"/>
      <c r="BE15" s="38"/>
    </row>
    <row r="16">
      <c r="A16" s="5"/>
      <c r="B16" s="42">
        <f>IFERROR(C60/COUNTA(B25:G39),"")</f>
        <v>1</v>
      </c>
      <c r="H16" s="40"/>
      <c r="I16" s="37"/>
      <c r="J16" s="42">
        <f>IFERROR(F60/COUNTA(J25:O39),"")</f>
        <v>0.5714285714</v>
      </c>
      <c r="P16" s="40"/>
      <c r="Q16" s="37"/>
      <c r="R16" s="42">
        <f>IFERROR(J60/COUNTA(R25:W39),"")</f>
        <v>1</v>
      </c>
      <c r="X16" s="40"/>
      <c r="Y16" s="37"/>
      <c r="Z16" s="42">
        <f>IFERROR(M60/COUNTA(Z25:AE39),"")</f>
        <v>1</v>
      </c>
      <c r="AF16" s="40"/>
      <c r="AG16" s="37"/>
      <c r="AH16" s="42">
        <f>IFERROR(P60/COUNTA(AH25:AM39),"")</f>
        <v>0.8333333333</v>
      </c>
      <c r="AN16" s="40"/>
      <c r="AO16" s="37"/>
      <c r="AP16" s="42">
        <f>IFERROR(T60/COUNTA(AP25:AU39),"")</f>
        <v>0.75</v>
      </c>
      <c r="AV16" s="40"/>
      <c r="AW16" s="37"/>
      <c r="AX16" s="42">
        <f>IFERROR(W60/COUNTA(AX25:BC39),"")</f>
        <v>0.3333333333</v>
      </c>
      <c r="BD16" s="40"/>
      <c r="BE16" s="38"/>
    </row>
    <row r="17">
      <c r="A17" s="5"/>
      <c r="B17" s="39"/>
      <c r="H17" s="40"/>
      <c r="I17" s="37"/>
      <c r="J17" s="39"/>
      <c r="P17" s="40"/>
      <c r="Q17" s="37"/>
      <c r="R17" s="39"/>
      <c r="X17" s="40"/>
      <c r="Y17" s="37"/>
      <c r="Z17" s="39"/>
      <c r="AF17" s="40"/>
      <c r="AG17" s="37"/>
      <c r="AH17" s="39"/>
      <c r="AN17" s="40"/>
      <c r="AO17" s="37"/>
      <c r="AP17" s="39"/>
      <c r="AV17" s="40"/>
      <c r="AW17" s="37"/>
      <c r="AX17" s="39"/>
      <c r="BD17" s="40"/>
      <c r="BE17" s="38"/>
    </row>
    <row r="18">
      <c r="A18" s="5"/>
      <c r="B18" s="39"/>
      <c r="H18" s="40"/>
      <c r="I18" s="37"/>
      <c r="J18" s="39"/>
      <c r="P18" s="40"/>
      <c r="Q18" s="37"/>
      <c r="R18" s="39"/>
      <c r="X18" s="40"/>
      <c r="Y18" s="37"/>
      <c r="Z18" s="39"/>
      <c r="AF18" s="40"/>
      <c r="AG18" s="37"/>
      <c r="AH18" s="39"/>
      <c r="AN18" s="40"/>
      <c r="AO18" s="37"/>
      <c r="AP18" s="39"/>
      <c r="AV18" s="40"/>
      <c r="AW18" s="37"/>
      <c r="AX18" s="39"/>
      <c r="BD18" s="40"/>
      <c r="BE18" s="38"/>
    </row>
    <row r="19">
      <c r="A19" s="5"/>
      <c r="B19" s="39"/>
      <c r="H19" s="40"/>
      <c r="I19" s="37"/>
      <c r="J19" s="39"/>
      <c r="P19" s="40"/>
      <c r="Q19" s="37"/>
      <c r="R19" s="39"/>
      <c r="X19" s="40"/>
      <c r="Y19" s="37"/>
      <c r="Z19" s="39"/>
      <c r="AF19" s="40"/>
      <c r="AG19" s="37"/>
      <c r="AH19" s="39"/>
      <c r="AN19" s="40"/>
      <c r="AO19" s="37"/>
      <c r="AP19" s="39"/>
      <c r="AV19" s="40"/>
      <c r="AW19" s="37"/>
      <c r="AX19" s="39"/>
      <c r="BD19" s="40"/>
      <c r="BE19" s="38"/>
    </row>
    <row r="20">
      <c r="A20" s="5"/>
      <c r="B20" s="39"/>
      <c r="H20" s="40"/>
      <c r="I20" s="37"/>
      <c r="J20" s="39"/>
      <c r="P20" s="40"/>
      <c r="Q20" s="37"/>
      <c r="R20" s="39"/>
      <c r="X20" s="40"/>
      <c r="Y20" s="37"/>
      <c r="Z20" s="39"/>
      <c r="AF20" s="40"/>
      <c r="AG20" s="37"/>
      <c r="AH20" s="39"/>
      <c r="AN20" s="40"/>
      <c r="AO20" s="37"/>
      <c r="AP20" s="39"/>
      <c r="AV20" s="40"/>
      <c r="AW20" s="37"/>
      <c r="AX20" s="39"/>
      <c r="BD20" s="40"/>
      <c r="BE20" s="38"/>
    </row>
    <row r="21">
      <c r="A21" s="5"/>
      <c r="B21" s="39"/>
      <c r="H21" s="40"/>
      <c r="I21" s="37"/>
      <c r="J21" s="39"/>
      <c r="P21" s="40"/>
      <c r="Q21" s="37"/>
      <c r="R21" s="39"/>
      <c r="X21" s="40"/>
      <c r="Y21" s="37"/>
      <c r="Z21" s="39"/>
      <c r="AF21" s="40"/>
      <c r="AG21" s="37"/>
      <c r="AH21" s="39"/>
      <c r="AN21" s="40"/>
      <c r="AO21" s="37"/>
      <c r="AP21" s="39"/>
      <c r="AV21" s="40"/>
      <c r="AW21" s="37"/>
      <c r="AX21" s="39"/>
      <c r="BD21" s="40"/>
      <c r="BE21" s="38"/>
    </row>
    <row r="22">
      <c r="A22" s="5"/>
      <c r="B22" s="43"/>
      <c r="C22" s="44"/>
      <c r="D22" s="44"/>
      <c r="E22" s="44"/>
      <c r="F22" s="44"/>
      <c r="G22" s="44"/>
      <c r="H22" s="45"/>
      <c r="I22" s="37"/>
      <c r="J22" s="43"/>
      <c r="K22" s="44"/>
      <c r="L22" s="44"/>
      <c r="M22" s="44"/>
      <c r="N22" s="44"/>
      <c r="O22" s="44"/>
      <c r="P22" s="45"/>
      <c r="Q22" s="37"/>
      <c r="R22" s="43"/>
      <c r="S22" s="44"/>
      <c r="T22" s="44"/>
      <c r="U22" s="44"/>
      <c r="V22" s="44"/>
      <c r="W22" s="44"/>
      <c r="X22" s="45"/>
      <c r="Y22" s="37"/>
      <c r="Z22" s="43"/>
      <c r="AA22" s="44"/>
      <c r="AB22" s="44"/>
      <c r="AC22" s="44"/>
      <c r="AD22" s="44"/>
      <c r="AE22" s="44"/>
      <c r="AF22" s="45"/>
      <c r="AG22" s="37"/>
      <c r="AH22" s="43"/>
      <c r="AI22" s="44"/>
      <c r="AJ22" s="44"/>
      <c r="AK22" s="44"/>
      <c r="AL22" s="44"/>
      <c r="AM22" s="44"/>
      <c r="AN22" s="45"/>
      <c r="AO22" s="37"/>
      <c r="AP22" s="43"/>
      <c r="AQ22" s="44"/>
      <c r="AR22" s="44"/>
      <c r="AS22" s="44"/>
      <c r="AT22" s="44"/>
      <c r="AU22" s="44"/>
      <c r="AV22" s="45"/>
      <c r="AW22" s="37"/>
      <c r="AX22" s="43"/>
      <c r="AY22" s="44"/>
      <c r="AZ22" s="44"/>
      <c r="BA22" s="44"/>
      <c r="BB22" s="44"/>
      <c r="BC22" s="44"/>
      <c r="BD22" s="45"/>
      <c r="BE22" s="38"/>
    </row>
    <row r="23" ht="7.5" customHeight="1">
      <c r="A23" s="5"/>
      <c r="B23" s="37"/>
      <c r="C23" s="37"/>
      <c r="D23" s="37"/>
      <c r="E23" s="37"/>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8"/>
    </row>
    <row r="24">
      <c r="A24" s="5"/>
      <c r="B24" s="46" t="s">
        <v>20</v>
      </c>
      <c r="C24" s="35"/>
      <c r="D24" s="35"/>
      <c r="E24" s="35"/>
      <c r="F24" s="35"/>
      <c r="G24" s="35"/>
      <c r="H24" s="36"/>
      <c r="I24" s="37"/>
      <c r="J24" s="46" t="s">
        <v>20</v>
      </c>
      <c r="K24" s="35"/>
      <c r="L24" s="35"/>
      <c r="M24" s="35"/>
      <c r="N24" s="35"/>
      <c r="O24" s="35"/>
      <c r="P24" s="36"/>
      <c r="Q24" s="37"/>
      <c r="R24" s="46" t="s">
        <v>20</v>
      </c>
      <c r="S24" s="35"/>
      <c r="T24" s="35"/>
      <c r="U24" s="35"/>
      <c r="V24" s="35"/>
      <c r="W24" s="35"/>
      <c r="X24" s="36"/>
      <c r="Y24" s="37"/>
      <c r="Z24" s="46" t="s">
        <v>20</v>
      </c>
      <c r="AA24" s="35"/>
      <c r="AB24" s="35"/>
      <c r="AC24" s="35"/>
      <c r="AD24" s="35"/>
      <c r="AE24" s="35"/>
      <c r="AF24" s="36"/>
      <c r="AG24" s="37"/>
      <c r="AH24" s="46" t="s">
        <v>20</v>
      </c>
      <c r="AI24" s="35"/>
      <c r="AJ24" s="35"/>
      <c r="AK24" s="35"/>
      <c r="AL24" s="35"/>
      <c r="AM24" s="35"/>
      <c r="AN24" s="36"/>
      <c r="AO24" s="37"/>
      <c r="AP24" s="46" t="s">
        <v>20</v>
      </c>
      <c r="AQ24" s="35"/>
      <c r="AR24" s="35"/>
      <c r="AS24" s="35"/>
      <c r="AT24" s="35"/>
      <c r="AU24" s="35"/>
      <c r="AV24" s="36"/>
      <c r="AW24" s="37"/>
      <c r="AX24" s="46" t="s">
        <v>20</v>
      </c>
      <c r="AY24" s="35"/>
      <c r="AZ24" s="35"/>
      <c r="BA24" s="35"/>
      <c r="BB24" s="35"/>
      <c r="BC24" s="35"/>
      <c r="BD24" s="36"/>
      <c r="BE24" s="38"/>
    </row>
    <row r="25">
      <c r="A25" s="5"/>
      <c r="B25" s="47" t="s">
        <v>21</v>
      </c>
      <c r="C25" s="25"/>
      <c r="D25" s="25"/>
      <c r="E25" s="25"/>
      <c r="F25" s="25"/>
      <c r="G25" s="25"/>
      <c r="H25" s="48" t="b">
        <v>1</v>
      </c>
      <c r="I25" s="11"/>
      <c r="J25" s="47" t="s">
        <v>22</v>
      </c>
      <c r="K25" s="25"/>
      <c r="L25" s="25"/>
      <c r="M25" s="25"/>
      <c r="N25" s="25"/>
      <c r="O25" s="25"/>
      <c r="P25" s="48" t="b">
        <v>1</v>
      </c>
      <c r="Q25" s="11"/>
      <c r="R25" s="47" t="s">
        <v>23</v>
      </c>
      <c r="S25" s="25"/>
      <c r="T25" s="25"/>
      <c r="U25" s="25"/>
      <c r="V25" s="25"/>
      <c r="W25" s="25"/>
      <c r="X25" s="48" t="b">
        <v>1</v>
      </c>
      <c r="Y25" s="11"/>
      <c r="Z25" s="47" t="s">
        <v>24</v>
      </c>
      <c r="AA25" s="25"/>
      <c r="AB25" s="25"/>
      <c r="AC25" s="25"/>
      <c r="AD25" s="25"/>
      <c r="AE25" s="25"/>
      <c r="AF25" s="48" t="b">
        <v>1</v>
      </c>
      <c r="AG25" s="11"/>
      <c r="AH25" s="47" t="s">
        <v>25</v>
      </c>
      <c r="AI25" s="25"/>
      <c r="AJ25" s="25"/>
      <c r="AK25" s="25"/>
      <c r="AL25" s="25"/>
      <c r="AM25" s="25"/>
      <c r="AN25" s="48" t="b">
        <v>1</v>
      </c>
      <c r="AO25" s="11"/>
      <c r="AP25" s="47" t="s">
        <v>26</v>
      </c>
      <c r="AQ25" s="25"/>
      <c r="AR25" s="25"/>
      <c r="AS25" s="25"/>
      <c r="AT25" s="25"/>
      <c r="AU25" s="25"/>
      <c r="AV25" s="48" t="b">
        <v>1</v>
      </c>
      <c r="AW25" s="11"/>
      <c r="AX25" s="47" t="s">
        <v>27</v>
      </c>
      <c r="AY25" s="25"/>
      <c r="AZ25" s="25"/>
      <c r="BA25" s="25"/>
      <c r="BB25" s="25"/>
      <c r="BC25" s="25"/>
      <c r="BD25" s="48" t="b">
        <v>1</v>
      </c>
      <c r="BE25" s="38"/>
    </row>
    <row r="26">
      <c r="A26" s="5"/>
      <c r="B26" s="47" t="s">
        <v>28</v>
      </c>
      <c r="C26" s="25"/>
      <c r="D26" s="25"/>
      <c r="E26" s="25"/>
      <c r="F26" s="25"/>
      <c r="G26" s="25"/>
      <c r="H26" s="48" t="b">
        <v>1</v>
      </c>
      <c r="I26" s="11"/>
      <c r="J26" s="47" t="s">
        <v>29</v>
      </c>
      <c r="K26" s="25"/>
      <c r="L26" s="25"/>
      <c r="M26" s="25"/>
      <c r="N26" s="25"/>
      <c r="O26" s="25"/>
      <c r="P26" s="48" t="b">
        <v>1</v>
      </c>
      <c r="Q26" s="11"/>
      <c r="R26" s="47" t="s">
        <v>30</v>
      </c>
      <c r="S26" s="25"/>
      <c r="T26" s="25"/>
      <c r="U26" s="25"/>
      <c r="V26" s="25"/>
      <c r="W26" s="25"/>
      <c r="X26" s="48" t="b">
        <v>1</v>
      </c>
      <c r="Y26" s="11"/>
      <c r="Z26" s="47" t="s">
        <v>31</v>
      </c>
      <c r="AA26" s="25"/>
      <c r="AB26" s="25"/>
      <c r="AC26" s="25"/>
      <c r="AD26" s="25"/>
      <c r="AE26" s="25"/>
      <c r="AF26" s="48" t="b">
        <v>1</v>
      </c>
      <c r="AG26" s="11"/>
      <c r="AH26" s="47" t="s">
        <v>32</v>
      </c>
      <c r="AI26" s="25"/>
      <c r="AJ26" s="25"/>
      <c r="AK26" s="25"/>
      <c r="AL26" s="25"/>
      <c r="AM26" s="25"/>
      <c r="AN26" s="48" t="b">
        <v>1</v>
      </c>
      <c r="AO26" s="11"/>
      <c r="AP26" s="47" t="s">
        <v>33</v>
      </c>
      <c r="AQ26" s="25"/>
      <c r="AR26" s="25"/>
      <c r="AS26" s="25"/>
      <c r="AT26" s="25"/>
      <c r="AU26" s="25"/>
      <c r="AV26" s="48" t="b">
        <v>1</v>
      </c>
      <c r="AW26" s="11"/>
      <c r="AX26" s="47" t="s">
        <v>34</v>
      </c>
      <c r="AY26" s="25"/>
      <c r="AZ26" s="25"/>
      <c r="BA26" s="25"/>
      <c r="BB26" s="25"/>
      <c r="BC26" s="25"/>
      <c r="BD26" s="48" t="b">
        <v>1</v>
      </c>
      <c r="BE26" s="38"/>
    </row>
    <row r="27">
      <c r="A27" s="5"/>
      <c r="B27" s="47" t="s">
        <v>35</v>
      </c>
      <c r="C27" s="25"/>
      <c r="D27" s="25"/>
      <c r="E27" s="25"/>
      <c r="F27" s="25"/>
      <c r="G27" s="25"/>
      <c r="H27" s="48" t="b">
        <v>1</v>
      </c>
      <c r="I27" s="11"/>
      <c r="J27" s="47" t="s">
        <v>36</v>
      </c>
      <c r="K27" s="25"/>
      <c r="L27" s="25"/>
      <c r="M27" s="25"/>
      <c r="N27" s="25"/>
      <c r="O27" s="25"/>
      <c r="P27" s="48" t="b">
        <v>1</v>
      </c>
      <c r="Q27" s="11"/>
      <c r="R27" s="47" t="s">
        <v>37</v>
      </c>
      <c r="S27" s="25"/>
      <c r="T27" s="25"/>
      <c r="U27" s="25"/>
      <c r="V27" s="25"/>
      <c r="W27" s="25"/>
      <c r="X27" s="48" t="b">
        <v>1</v>
      </c>
      <c r="Y27" s="11"/>
      <c r="Z27" s="47" t="s">
        <v>38</v>
      </c>
      <c r="AA27" s="25"/>
      <c r="AB27" s="25"/>
      <c r="AC27" s="25"/>
      <c r="AD27" s="25"/>
      <c r="AE27" s="25"/>
      <c r="AF27" s="48" t="b">
        <v>1</v>
      </c>
      <c r="AG27" s="11"/>
      <c r="AH27" s="47" t="s">
        <v>39</v>
      </c>
      <c r="AI27" s="25"/>
      <c r="AJ27" s="25"/>
      <c r="AK27" s="25"/>
      <c r="AL27" s="25"/>
      <c r="AM27" s="25"/>
      <c r="AN27" s="48" t="b">
        <v>1</v>
      </c>
      <c r="AO27" s="11"/>
      <c r="AP27" s="47" t="s">
        <v>40</v>
      </c>
      <c r="AQ27" s="25"/>
      <c r="AR27" s="25"/>
      <c r="AS27" s="25"/>
      <c r="AT27" s="25"/>
      <c r="AU27" s="25"/>
      <c r="AV27" s="48" t="b">
        <v>1</v>
      </c>
      <c r="AW27" s="11"/>
      <c r="AX27" s="47" t="s">
        <v>41</v>
      </c>
      <c r="AY27" s="25"/>
      <c r="AZ27" s="25"/>
      <c r="BA27" s="25"/>
      <c r="BB27" s="25"/>
      <c r="BC27" s="25"/>
      <c r="BD27" s="48" t="b">
        <v>0</v>
      </c>
      <c r="BE27" s="38"/>
    </row>
    <row r="28">
      <c r="A28" s="5"/>
      <c r="B28" s="47" t="s">
        <v>42</v>
      </c>
      <c r="C28" s="25"/>
      <c r="D28" s="25"/>
      <c r="E28" s="25"/>
      <c r="F28" s="25"/>
      <c r="G28" s="25"/>
      <c r="H28" s="48" t="b">
        <v>1</v>
      </c>
      <c r="I28" s="11"/>
      <c r="J28" s="47" t="s">
        <v>43</v>
      </c>
      <c r="K28" s="25"/>
      <c r="L28" s="25"/>
      <c r="M28" s="25"/>
      <c r="N28" s="25"/>
      <c r="O28" s="25"/>
      <c r="P28" s="48" t="b">
        <v>1</v>
      </c>
      <c r="Q28" s="11"/>
      <c r="R28" s="47" t="s">
        <v>44</v>
      </c>
      <c r="S28" s="25"/>
      <c r="T28" s="25"/>
      <c r="U28" s="25"/>
      <c r="V28" s="25"/>
      <c r="W28" s="25"/>
      <c r="X28" s="48" t="b">
        <v>1</v>
      </c>
      <c r="Y28" s="11"/>
      <c r="Z28" s="47" t="s">
        <v>45</v>
      </c>
      <c r="AA28" s="25"/>
      <c r="AB28" s="25"/>
      <c r="AC28" s="25"/>
      <c r="AD28" s="25"/>
      <c r="AE28" s="25"/>
      <c r="AF28" s="48" t="b">
        <v>1</v>
      </c>
      <c r="AG28" s="11"/>
      <c r="AH28" s="47" t="s">
        <v>46</v>
      </c>
      <c r="AI28" s="25"/>
      <c r="AJ28" s="25"/>
      <c r="AK28" s="25"/>
      <c r="AL28" s="25"/>
      <c r="AM28" s="25"/>
      <c r="AN28" s="48" t="b">
        <v>1</v>
      </c>
      <c r="AO28" s="11"/>
      <c r="AP28" s="47" t="s">
        <v>47</v>
      </c>
      <c r="AQ28" s="25"/>
      <c r="AR28" s="25"/>
      <c r="AS28" s="25"/>
      <c r="AT28" s="25"/>
      <c r="AU28" s="25"/>
      <c r="AV28" s="48" t="b">
        <v>0</v>
      </c>
      <c r="AW28" s="11"/>
      <c r="AX28" s="47" t="s">
        <v>48</v>
      </c>
      <c r="AY28" s="25"/>
      <c r="AZ28" s="25"/>
      <c r="BA28" s="25"/>
      <c r="BB28" s="25"/>
      <c r="BC28" s="25"/>
      <c r="BD28" s="48" t="b">
        <v>0</v>
      </c>
      <c r="BE28" s="38"/>
    </row>
    <row r="29">
      <c r="A29" s="5"/>
      <c r="B29" s="47" t="s">
        <v>49</v>
      </c>
      <c r="C29" s="25"/>
      <c r="D29" s="25"/>
      <c r="E29" s="25"/>
      <c r="F29" s="25"/>
      <c r="G29" s="25"/>
      <c r="H29" s="48" t="b">
        <v>1</v>
      </c>
      <c r="I29" s="11"/>
      <c r="J29" s="47" t="s">
        <v>50</v>
      </c>
      <c r="K29" s="25"/>
      <c r="L29" s="25"/>
      <c r="M29" s="25"/>
      <c r="N29" s="25"/>
      <c r="O29" s="25"/>
      <c r="P29" s="48" t="b">
        <v>0</v>
      </c>
      <c r="Q29" s="11"/>
      <c r="R29" s="47" t="s">
        <v>51</v>
      </c>
      <c r="S29" s="25"/>
      <c r="T29" s="25"/>
      <c r="U29" s="25"/>
      <c r="V29" s="25"/>
      <c r="W29" s="25"/>
      <c r="X29" s="48" t="b">
        <v>1</v>
      </c>
      <c r="Y29" s="11"/>
      <c r="Z29" s="47"/>
      <c r="AA29" s="25"/>
      <c r="AB29" s="25"/>
      <c r="AC29" s="25"/>
      <c r="AD29" s="25"/>
      <c r="AE29" s="25"/>
      <c r="AF29" s="48" t="b">
        <v>0</v>
      </c>
      <c r="AG29" s="11"/>
      <c r="AH29" s="47" t="s">
        <v>52</v>
      </c>
      <c r="AI29" s="25"/>
      <c r="AJ29" s="25"/>
      <c r="AK29" s="25"/>
      <c r="AL29" s="25"/>
      <c r="AM29" s="25"/>
      <c r="AN29" s="48" t="b">
        <v>1</v>
      </c>
      <c r="AO29" s="11"/>
      <c r="AP29" s="47"/>
      <c r="AQ29" s="25"/>
      <c r="AR29" s="25"/>
      <c r="AS29" s="25"/>
      <c r="AT29" s="25"/>
      <c r="AU29" s="25"/>
      <c r="AV29" s="48" t="b">
        <v>0</v>
      </c>
      <c r="AW29" s="11"/>
      <c r="AX29" s="47" t="s">
        <v>53</v>
      </c>
      <c r="AY29" s="25"/>
      <c r="AZ29" s="25"/>
      <c r="BA29" s="25"/>
      <c r="BB29" s="25"/>
      <c r="BC29" s="25"/>
      <c r="BD29" s="48" t="b">
        <v>0</v>
      </c>
      <c r="BE29" s="38"/>
    </row>
    <row r="30">
      <c r="A30" s="5"/>
      <c r="B30" s="47"/>
      <c r="C30" s="25"/>
      <c r="D30" s="25"/>
      <c r="E30" s="25"/>
      <c r="F30" s="25"/>
      <c r="G30" s="25"/>
      <c r="H30" s="48" t="b">
        <v>0</v>
      </c>
      <c r="I30" s="11"/>
      <c r="J30" s="47" t="s">
        <v>54</v>
      </c>
      <c r="K30" s="25"/>
      <c r="L30" s="25"/>
      <c r="M30" s="25"/>
      <c r="N30" s="25"/>
      <c r="O30" s="25"/>
      <c r="P30" s="48" t="b">
        <v>0</v>
      </c>
      <c r="Q30" s="11"/>
      <c r="R30" s="47"/>
      <c r="S30" s="25"/>
      <c r="T30" s="25"/>
      <c r="U30" s="25"/>
      <c r="V30" s="25"/>
      <c r="W30" s="25"/>
      <c r="X30" s="48" t="b">
        <v>0</v>
      </c>
      <c r="Y30" s="11"/>
      <c r="Z30" s="47"/>
      <c r="AA30" s="25"/>
      <c r="AB30" s="25"/>
      <c r="AC30" s="25"/>
      <c r="AD30" s="25"/>
      <c r="AE30" s="25"/>
      <c r="AF30" s="48" t="b">
        <v>0</v>
      </c>
      <c r="AG30" s="11"/>
      <c r="AH30" s="47" t="s">
        <v>55</v>
      </c>
      <c r="AI30" s="25"/>
      <c r="AJ30" s="25"/>
      <c r="AK30" s="25"/>
      <c r="AL30" s="25"/>
      <c r="AM30" s="25"/>
      <c r="AN30" s="48" t="b">
        <v>0</v>
      </c>
      <c r="AO30" s="11"/>
      <c r="AP30" s="47"/>
      <c r="AQ30" s="25"/>
      <c r="AR30" s="25"/>
      <c r="AS30" s="25"/>
      <c r="AT30" s="25"/>
      <c r="AU30" s="25"/>
      <c r="AV30" s="48" t="b">
        <v>0</v>
      </c>
      <c r="AW30" s="11"/>
      <c r="AX30" s="47" t="s">
        <v>56</v>
      </c>
      <c r="AY30" s="25"/>
      <c r="AZ30" s="25"/>
      <c r="BA30" s="25"/>
      <c r="BB30" s="25"/>
      <c r="BC30" s="25"/>
      <c r="BD30" s="48" t="b">
        <v>0</v>
      </c>
      <c r="BE30" s="38"/>
    </row>
    <row r="31">
      <c r="A31" s="5"/>
      <c r="B31" s="47"/>
      <c r="C31" s="25"/>
      <c r="D31" s="25"/>
      <c r="E31" s="25"/>
      <c r="F31" s="25"/>
      <c r="G31" s="25"/>
      <c r="H31" s="48" t="b">
        <v>0</v>
      </c>
      <c r="I31" s="11"/>
      <c r="J31" s="47" t="s">
        <v>57</v>
      </c>
      <c r="K31" s="25"/>
      <c r="L31" s="25"/>
      <c r="M31" s="25"/>
      <c r="N31" s="25"/>
      <c r="O31" s="25"/>
      <c r="P31" s="48" t="b">
        <v>0</v>
      </c>
      <c r="Q31" s="11"/>
      <c r="R31" s="47"/>
      <c r="S31" s="25"/>
      <c r="T31" s="25"/>
      <c r="U31" s="25"/>
      <c r="V31" s="25"/>
      <c r="W31" s="25"/>
      <c r="X31" s="48" t="b">
        <v>0</v>
      </c>
      <c r="Y31" s="11"/>
      <c r="Z31" s="47"/>
      <c r="AA31" s="25"/>
      <c r="AB31" s="25"/>
      <c r="AC31" s="25"/>
      <c r="AD31" s="25"/>
      <c r="AE31" s="25"/>
      <c r="AF31" s="48" t="b">
        <v>0</v>
      </c>
      <c r="AG31" s="11"/>
      <c r="AH31" s="47"/>
      <c r="AI31" s="25"/>
      <c r="AJ31" s="25"/>
      <c r="AK31" s="25"/>
      <c r="AL31" s="25"/>
      <c r="AM31" s="25"/>
      <c r="AN31" s="48" t="b">
        <v>0</v>
      </c>
      <c r="AO31" s="11"/>
      <c r="AP31" s="47"/>
      <c r="AQ31" s="25"/>
      <c r="AR31" s="25"/>
      <c r="AS31" s="25"/>
      <c r="AT31" s="25"/>
      <c r="AU31" s="25"/>
      <c r="AV31" s="48" t="b">
        <v>0</v>
      </c>
      <c r="AW31" s="11"/>
      <c r="AX31" s="47"/>
      <c r="AY31" s="25"/>
      <c r="AZ31" s="25"/>
      <c r="BA31" s="25"/>
      <c r="BB31" s="25"/>
      <c r="BC31" s="25"/>
      <c r="BD31" s="48" t="b">
        <v>0</v>
      </c>
      <c r="BE31" s="38"/>
    </row>
    <row r="32">
      <c r="A32" s="5"/>
      <c r="B32" s="47"/>
      <c r="C32" s="25"/>
      <c r="D32" s="25"/>
      <c r="E32" s="25"/>
      <c r="F32" s="25"/>
      <c r="G32" s="25"/>
      <c r="H32" s="48" t="b">
        <v>0</v>
      </c>
      <c r="I32" s="11"/>
      <c r="J32" s="47"/>
      <c r="K32" s="25"/>
      <c r="L32" s="25"/>
      <c r="M32" s="25"/>
      <c r="N32" s="25"/>
      <c r="O32" s="25"/>
      <c r="P32" s="48" t="b">
        <v>0</v>
      </c>
      <c r="Q32" s="11"/>
      <c r="R32" s="47"/>
      <c r="S32" s="25"/>
      <c r="T32" s="25"/>
      <c r="U32" s="25"/>
      <c r="V32" s="25"/>
      <c r="W32" s="25"/>
      <c r="X32" s="48" t="b">
        <v>0</v>
      </c>
      <c r="Y32" s="11"/>
      <c r="Z32" s="47"/>
      <c r="AA32" s="25"/>
      <c r="AB32" s="25"/>
      <c r="AC32" s="25"/>
      <c r="AD32" s="25"/>
      <c r="AE32" s="25"/>
      <c r="AF32" s="48" t="b">
        <v>0</v>
      </c>
      <c r="AG32" s="11"/>
      <c r="AH32" s="47"/>
      <c r="AI32" s="25"/>
      <c r="AJ32" s="25"/>
      <c r="AK32" s="25"/>
      <c r="AL32" s="25"/>
      <c r="AM32" s="25"/>
      <c r="AN32" s="48" t="b">
        <v>0</v>
      </c>
      <c r="AO32" s="11"/>
      <c r="AP32" s="47"/>
      <c r="AQ32" s="25"/>
      <c r="AR32" s="25"/>
      <c r="AS32" s="25"/>
      <c r="AT32" s="25"/>
      <c r="AU32" s="25"/>
      <c r="AV32" s="48" t="b">
        <v>0</v>
      </c>
      <c r="AW32" s="11"/>
      <c r="AX32" s="47"/>
      <c r="AY32" s="25"/>
      <c r="AZ32" s="25"/>
      <c r="BA32" s="25"/>
      <c r="BB32" s="25"/>
      <c r="BC32" s="25"/>
      <c r="BD32" s="48" t="b">
        <v>0</v>
      </c>
      <c r="BE32" s="38"/>
    </row>
    <row r="33">
      <c r="A33" s="5"/>
      <c r="B33" s="47"/>
      <c r="C33" s="25"/>
      <c r="D33" s="25"/>
      <c r="E33" s="25"/>
      <c r="F33" s="25"/>
      <c r="G33" s="25"/>
      <c r="H33" s="48" t="b">
        <v>0</v>
      </c>
      <c r="I33" s="11"/>
      <c r="J33" s="47"/>
      <c r="K33" s="25"/>
      <c r="L33" s="25"/>
      <c r="M33" s="25"/>
      <c r="N33" s="25"/>
      <c r="O33" s="25"/>
      <c r="P33" s="48" t="b">
        <v>0</v>
      </c>
      <c r="Q33" s="11"/>
      <c r="R33" s="47"/>
      <c r="S33" s="25"/>
      <c r="T33" s="25"/>
      <c r="U33" s="25"/>
      <c r="V33" s="25"/>
      <c r="W33" s="25"/>
      <c r="X33" s="48" t="b">
        <v>0</v>
      </c>
      <c r="Y33" s="11"/>
      <c r="Z33" s="47"/>
      <c r="AA33" s="25"/>
      <c r="AB33" s="25"/>
      <c r="AC33" s="25"/>
      <c r="AD33" s="25"/>
      <c r="AE33" s="25"/>
      <c r="AF33" s="48" t="b">
        <v>0</v>
      </c>
      <c r="AG33" s="11"/>
      <c r="AH33" s="47"/>
      <c r="AI33" s="25"/>
      <c r="AJ33" s="25"/>
      <c r="AK33" s="25"/>
      <c r="AL33" s="25"/>
      <c r="AM33" s="25"/>
      <c r="AN33" s="48" t="b">
        <v>0</v>
      </c>
      <c r="AO33" s="11"/>
      <c r="AP33" s="47"/>
      <c r="AQ33" s="25"/>
      <c r="AR33" s="25"/>
      <c r="AS33" s="25"/>
      <c r="AT33" s="25"/>
      <c r="AU33" s="25"/>
      <c r="AV33" s="48" t="b">
        <v>0</v>
      </c>
      <c r="AW33" s="11"/>
      <c r="AX33" s="47"/>
      <c r="AY33" s="25"/>
      <c r="AZ33" s="25"/>
      <c r="BA33" s="25"/>
      <c r="BB33" s="25"/>
      <c r="BC33" s="25"/>
      <c r="BD33" s="48" t="b">
        <v>0</v>
      </c>
      <c r="BE33" s="38"/>
    </row>
    <row r="34">
      <c r="A34" s="5"/>
      <c r="B34" s="47"/>
      <c r="C34" s="25"/>
      <c r="D34" s="25"/>
      <c r="E34" s="25"/>
      <c r="F34" s="25"/>
      <c r="G34" s="25"/>
      <c r="H34" s="48" t="b">
        <v>0</v>
      </c>
      <c r="I34" s="11"/>
      <c r="J34" s="47"/>
      <c r="K34" s="25"/>
      <c r="L34" s="25"/>
      <c r="M34" s="25"/>
      <c r="N34" s="25"/>
      <c r="O34" s="25"/>
      <c r="P34" s="48" t="b">
        <v>0</v>
      </c>
      <c r="Q34" s="11"/>
      <c r="R34" s="47"/>
      <c r="S34" s="25"/>
      <c r="T34" s="25"/>
      <c r="U34" s="25"/>
      <c r="V34" s="25"/>
      <c r="W34" s="25"/>
      <c r="X34" s="48" t="b">
        <v>0</v>
      </c>
      <c r="Y34" s="11"/>
      <c r="Z34" s="47"/>
      <c r="AA34" s="25"/>
      <c r="AB34" s="25"/>
      <c r="AC34" s="25"/>
      <c r="AD34" s="25"/>
      <c r="AE34" s="25"/>
      <c r="AF34" s="48" t="b">
        <v>0</v>
      </c>
      <c r="AG34" s="11"/>
      <c r="AH34" s="47"/>
      <c r="AI34" s="25"/>
      <c r="AJ34" s="25"/>
      <c r="AK34" s="25"/>
      <c r="AL34" s="25"/>
      <c r="AM34" s="25"/>
      <c r="AN34" s="48" t="b">
        <v>0</v>
      </c>
      <c r="AO34" s="11"/>
      <c r="AP34" s="47"/>
      <c r="AQ34" s="25"/>
      <c r="AR34" s="25"/>
      <c r="AS34" s="25"/>
      <c r="AT34" s="25"/>
      <c r="AU34" s="25"/>
      <c r="AV34" s="48" t="b">
        <v>0</v>
      </c>
      <c r="AW34" s="11"/>
      <c r="AX34" s="47"/>
      <c r="AY34" s="25"/>
      <c r="AZ34" s="25"/>
      <c r="BA34" s="25"/>
      <c r="BB34" s="25"/>
      <c r="BC34" s="25"/>
      <c r="BD34" s="48" t="b">
        <v>0</v>
      </c>
      <c r="BE34" s="38"/>
    </row>
    <row r="35">
      <c r="A35" s="5"/>
      <c r="B35" s="47"/>
      <c r="C35" s="25"/>
      <c r="D35" s="25"/>
      <c r="E35" s="25"/>
      <c r="F35" s="25"/>
      <c r="G35" s="25"/>
      <c r="H35" s="48" t="b">
        <v>0</v>
      </c>
      <c r="I35" s="11"/>
      <c r="J35" s="47"/>
      <c r="K35" s="25"/>
      <c r="L35" s="25"/>
      <c r="M35" s="25"/>
      <c r="N35" s="25"/>
      <c r="O35" s="25"/>
      <c r="P35" s="48" t="b">
        <v>0</v>
      </c>
      <c r="Q35" s="11"/>
      <c r="R35" s="47"/>
      <c r="S35" s="25"/>
      <c r="T35" s="25"/>
      <c r="U35" s="25"/>
      <c r="V35" s="25"/>
      <c r="W35" s="25"/>
      <c r="X35" s="48" t="b">
        <v>0</v>
      </c>
      <c r="Y35" s="11"/>
      <c r="Z35" s="47"/>
      <c r="AA35" s="25"/>
      <c r="AB35" s="25"/>
      <c r="AC35" s="25"/>
      <c r="AD35" s="25"/>
      <c r="AE35" s="25"/>
      <c r="AF35" s="48" t="b">
        <v>0</v>
      </c>
      <c r="AG35" s="11"/>
      <c r="AH35" s="47"/>
      <c r="AI35" s="25"/>
      <c r="AJ35" s="25"/>
      <c r="AK35" s="25"/>
      <c r="AL35" s="25"/>
      <c r="AM35" s="25"/>
      <c r="AN35" s="48" t="b">
        <v>0</v>
      </c>
      <c r="AO35" s="11"/>
      <c r="AP35" s="47"/>
      <c r="AQ35" s="25"/>
      <c r="AR35" s="25"/>
      <c r="AS35" s="25"/>
      <c r="AT35" s="25"/>
      <c r="AU35" s="25"/>
      <c r="AV35" s="48" t="b">
        <v>0</v>
      </c>
      <c r="AW35" s="11"/>
      <c r="AX35" s="47"/>
      <c r="AY35" s="25"/>
      <c r="AZ35" s="25"/>
      <c r="BA35" s="25"/>
      <c r="BB35" s="25"/>
      <c r="BC35" s="25"/>
      <c r="BD35" s="48" t="b">
        <v>0</v>
      </c>
      <c r="BE35" s="38"/>
    </row>
    <row r="36">
      <c r="A36" s="5"/>
      <c r="B36" s="47"/>
      <c r="C36" s="25"/>
      <c r="D36" s="25"/>
      <c r="E36" s="25"/>
      <c r="F36" s="25"/>
      <c r="G36" s="25"/>
      <c r="H36" s="48" t="b">
        <v>0</v>
      </c>
      <c r="I36" s="11"/>
      <c r="J36" s="47"/>
      <c r="K36" s="25"/>
      <c r="L36" s="25"/>
      <c r="M36" s="25"/>
      <c r="N36" s="25"/>
      <c r="O36" s="25"/>
      <c r="P36" s="48" t="b">
        <v>0</v>
      </c>
      <c r="Q36" s="11"/>
      <c r="R36" s="47"/>
      <c r="S36" s="25"/>
      <c r="T36" s="25"/>
      <c r="U36" s="25"/>
      <c r="V36" s="25"/>
      <c r="W36" s="25"/>
      <c r="X36" s="48" t="b">
        <v>0</v>
      </c>
      <c r="Y36" s="11"/>
      <c r="Z36" s="47"/>
      <c r="AA36" s="25"/>
      <c r="AB36" s="25"/>
      <c r="AC36" s="25"/>
      <c r="AD36" s="25"/>
      <c r="AE36" s="25"/>
      <c r="AF36" s="48" t="b">
        <v>0</v>
      </c>
      <c r="AG36" s="11"/>
      <c r="AH36" s="47"/>
      <c r="AI36" s="25"/>
      <c r="AJ36" s="25"/>
      <c r="AK36" s="25"/>
      <c r="AL36" s="25"/>
      <c r="AM36" s="25"/>
      <c r="AN36" s="48" t="b">
        <v>0</v>
      </c>
      <c r="AO36" s="11"/>
      <c r="AP36" s="47"/>
      <c r="AQ36" s="25"/>
      <c r="AR36" s="25"/>
      <c r="AS36" s="25"/>
      <c r="AT36" s="25"/>
      <c r="AU36" s="25"/>
      <c r="AV36" s="48" t="b">
        <v>0</v>
      </c>
      <c r="AW36" s="11"/>
      <c r="AX36" s="47"/>
      <c r="AY36" s="25"/>
      <c r="AZ36" s="25"/>
      <c r="BA36" s="25"/>
      <c r="BB36" s="25"/>
      <c r="BC36" s="25"/>
      <c r="BD36" s="48" t="b">
        <v>0</v>
      </c>
      <c r="BE36" s="38"/>
    </row>
    <row r="37">
      <c r="A37" s="5"/>
      <c r="B37" s="47"/>
      <c r="C37" s="25"/>
      <c r="D37" s="25"/>
      <c r="E37" s="25"/>
      <c r="F37" s="25"/>
      <c r="G37" s="25"/>
      <c r="H37" s="48" t="b">
        <v>0</v>
      </c>
      <c r="I37" s="11"/>
      <c r="J37" s="47"/>
      <c r="K37" s="25"/>
      <c r="L37" s="25"/>
      <c r="M37" s="25"/>
      <c r="N37" s="25"/>
      <c r="O37" s="25"/>
      <c r="P37" s="48" t="b">
        <v>0</v>
      </c>
      <c r="Q37" s="11"/>
      <c r="R37" s="47"/>
      <c r="S37" s="25"/>
      <c r="T37" s="25"/>
      <c r="U37" s="25"/>
      <c r="V37" s="25"/>
      <c r="W37" s="25"/>
      <c r="X37" s="48" t="b">
        <v>0</v>
      </c>
      <c r="Y37" s="11"/>
      <c r="Z37" s="47"/>
      <c r="AA37" s="25"/>
      <c r="AB37" s="25"/>
      <c r="AC37" s="25"/>
      <c r="AD37" s="25"/>
      <c r="AE37" s="25"/>
      <c r="AF37" s="48" t="b">
        <v>0</v>
      </c>
      <c r="AG37" s="11"/>
      <c r="AH37" s="47"/>
      <c r="AI37" s="25"/>
      <c r="AJ37" s="25"/>
      <c r="AK37" s="25"/>
      <c r="AL37" s="25"/>
      <c r="AM37" s="25"/>
      <c r="AN37" s="48" t="b">
        <v>0</v>
      </c>
      <c r="AO37" s="11"/>
      <c r="AP37" s="47"/>
      <c r="AQ37" s="25"/>
      <c r="AR37" s="25"/>
      <c r="AS37" s="25"/>
      <c r="AT37" s="25"/>
      <c r="AU37" s="25"/>
      <c r="AV37" s="48" t="b">
        <v>0</v>
      </c>
      <c r="AW37" s="11"/>
      <c r="AX37" s="47"/>
      <c r="AY37" s="25"/>
      <c r="AZ37" s="25"/>
      <c r="BA37" s="25"/>
      <c r="BB37" s="25"/>
      <c r="BC37" s="25"/>
      <c r="BD37" s="48" t="b">
        <v>0</v>
      </c>
      <c r="BE37" s="38"/>
    </row>
    <row r="38">
      <c r="A38" s="5"/>
      <c r="B38" s="47"/>
      <c r="C38" s="25"/>
      <c r="D38" s="25"/>
      <c r="E38" s="25"/>
      <c r="F38" s="25"/>
      <c r="G38" s="25"/>
      <c r="H38" s="48" t="b">
        <v>0</v>
      </c>
      <c r="I38" s="11"/>
      <c r="J38" s="47"/>
      <c r="K38" s="25"/>
      <c r="L38" s="25"/>
      <c r="M38" s="25"/>
      <c r="N38" s="25"/>
      <c r="O38" s="25"/>
      <c r="P38" s="48" t="b">
        <v>0</v>
      </c>
      <c r="Q38" s="11"/>
      <c r="R38" s="47"/>
      <c r="S38" s="25"/>
      <c r="T38" s="25"/>
      <c r="U38" s="25"/>
      <c r="V38" s="25"/>
      <c r="W38" s="25"/>
      <c r="X38" s="48" t="b">
        <v>0</v>
      </c>
      <c r="Y38" s="11"/>
      <c r="Z38" s="47"/>
      <c r="AA38" s="25"/>
      <c r="AB38" s="25"/>
      <c r="AC38" s="25"/>
      <c r="AD38" s="25"/>
      <c r="AE38" s="25"/>
      <c r="AF38" s="48" t="b">
        <v>0</v>
      </c>
      <c r="AG38" s="11"/>
      <c r="AH38" s="47"/>
      <c r="AI38" s="25"/>
      <c r="AJ38" s="25"/>
      <c r="AK38" s="25"/>
      <c r="AL38" s="25"/>
      <c r="AM38" s="25"/>
      <c r="AN38" s="48" t="b">
        <v>0</v>
      </c>
      <c r="AO38" s="11"/>
      <c r="AP38" s="47"/>
      <c r="AQ38" s="25"/>
      <c r="AR38" s="25"/>
      <c r="AS38" s="25"/>
      <c r="AT38" s="25"/>
      <c r="AU38" s="25"/>
      <c r="AV38" s="48" t="b">
        <v>0</v>
      </c>
      <c r="AW38" s="11"/>
      <c r="AX38" s="47"/>
      <c r="AY38" s="25"/>
      <c r="AZ38" s="25"/>
      <c r="BA38" s="25"/>
      <c r="BB38" s="25"/>
      <c r="BC38" s="25"/>
      <c r="BD38" s="48" t="b">
        <v>0</v>
      </c>
      <c r="BE38" s="38"/>
    </row>
    <row r="39">
      <c r="A39" s="5"/>
      <c r="B39" s="47"/>
      <c r="C39" s="25"/>
      <c r="D39" s="25"/>
      <c r="E39" s="25"/>
      <c r="F39" s="25"/>
      <c r="G39" s="25"/>
      <c r="H39" s="48" t="b">
        <v>0</v>
      </c>
      <c r="I39" s="11"/>
      <c r="J39" s="47"/>
      <c r="K39" s="25"/>
      <c r="L39" s="25"/>
      <c r="M39" s="25"/>
      <c r="N39" s="25"/>
      <c r="O39" s="25"/>
      <c r="P39" s="48" t="b">
        <v>0</v>
      </c>
      <c r="Q39" s="11"/>
      <c r="R39" s="47"/>
      <c r="S39" s="25"/>
      <c r="T39" s="25"/>
      <c r="U39" s="25"/>
      <c r="V39" s="25"/>
      <c r="W39" s="25"/>
      <c r="X39" s="48" t="b">
        <v>0</v>
      </c>
      <c r="Y39" s="11"/>
      <c r="Z39" s="47"/>
      <c r="AA39" s="25"/>
      <c r="AB39" s="25"/>
      <c r="AC39" s="25"/>
      <c r="AD39" s="25"/>
      <c r="AE39" s="25"/>
      <c r="AF39" s="48" t="b">
        <v>0</v>
      </c>
      <c r="AG39" s="11"/>
      <c r="AH39" s="47"/>
      <c r="AI39" s="25"/>
      <c r="AJ39" s="25"/>
      <c r="AK39" s="25"/>
      <c r="AL39" s="25"/>
      <c r="AM39" s="25"/>
      <c r="AN39" s="48" t="b">
        <v>0</v>
      </c>
      <c r="AO39" s="11"/>
      <c r="AP39" s="47"/>
      <c r="AQ39" s="25"/>
      <c r="AR39" s="25"/>
      <c r="AS39" s="25"/>
      <c r="AT39" s="25"/>
      <c r="AU39" s="25"/>
      <c r="AV39" s="48" t="b">
        <v>0</v>
      </c>
      <c r="AW39" s="11"/>
      <c r="AX39" s="47"/>
      <c r="AY39" s="25"/>
      <c r="AZ39" s="25"/>
      <c r="BA39" s="25"/>
      <c r="BB39" s="25"/>
      <c r="BC39" s="25"/>
      <c r="BD39" s="48" t="b">
        <v>0</v>
      </c>
      <c r="BE39" s="38"/>
    </row>
    <row r="40" ht="15.75" customHeight="1">
      <c r="A40" s="5"/>
      <c r="B40" s="49" t="s">
        <v>58</v>
      </c>
      <c r="G40" s="50">
        <f t="shared" ref="G40:G41" si="2">C60</f>
        <v>5</v>
      </c>
      <c r="H40" s="40"/>
      <c r="I40" s="51"/>
      <c r="J40" s="49" t="s">
        <v>58</v>
      </c>
      <c r="O40" s="50">
        <v>4.0</v>
      </c>
      <c r="P40" s="40"/>
      <c r="Q40" s="51"/>
      <c r="R40" s="49" t="s">
        <v>58</v>
      </c>
      <c r="W40" s="50">
        <f t="shared" ref="W40:W41" si="3">J60</f>
        <v>5</v>
      </c>
      <c r="X40" s="40"/>
      <c r="Y40" s="51"/>
      <c r="Z40" s="49" t="s">
        <v>58</v>
      </c>
      <c r="AE40" s="50">
        <f t="shared" ref="AE40:AE41" si="4">M60</f>
        <v>4</v>
      </c>
      <c r="AF40" s="40"/>
      <c r="AG40" s="51"/>
      <c r="AH40" s="49" t="s">
        <v>58</v>
      </c>
      <c r="AM40" s="50">
        <f t="shared" ref="AM40:AM41" si="5">P60</f>
        <v>5</v>
      </c>
      <c r="AN40" s="40"/>
      <c r="AO40" s="51"/>
      <c r="AP40" s="49" t="s">
        <v>58</v>
      </c>
      <c r="AU40" s="50">
        <f t="shared" ref="AU40:AU41" si="6">T60</f>
        <v>3</v>
      </c>
      <c r="AV40" s="40"/>
      <c r="AW40" s="51"/>
      <c r="AX40" s="49" t="s">
        <v>58</v>
      </c>
      <c r="BC40" s="50">
        <f t="shared" ref="BC40:BC41" si="7">W60</f>
        <v>2</v>
      </c>
      <c r="BD40" s="40"/>
      <c r="BE40" s="38"/>
    </row>
    <row r="41">
      <c r="A41" s="5"/>
      <c r="B41" s="52" t="s">
        <v>59</v>
      </c>
      <c r="C41" s="44"/>
      <c r="D41" s="44"/>
      <c r="E41" s="44"/>
      <c r="F41" s="44"/>
      <c r="G41" s="53">
        <f t="shared" si="2"/>
        <v>0</v>
      </c>
      <c r="H41" s="45"/>
      <c r="I41" s="51"/>
      <c r="J41" s="52" t="s">
        <v>59</v>
      </c>
      <c r="K41" s="44"/>
      <c r="L41" s="44"/>
      <c r="M41" s="44"/>
      <c r="N41" s="44"/>
      <c r="O41" s="53">
        <v>2.0</v>
      </c>
      <c r="P41" s="45"/>
      <c r="Q41" s="51"/>
      <c r="R41" s="52" t="s">
        <v>59</v>
      </c>
      <c r="S41" s="44"/>
      <c r="T41" s="44"/>
      <c r="U41" s="44"/>
      <c r="V41" s="44"/>
      <c r="W41" s="53">
        <f t="shared" si="3"/>
        <v>0</v>
      </c>
      <c r="X41" s="45"/>
      <c r="Y41" s="51"/>
      <c r="Z41" s="52" t="s">
        <v>59</v>
      </c>
      <c r="AA41" s="44"/>
      <c r="AB41" s="44"/>
      <c r="AC41" s="44"/>
      <c r="AD41" s="44"/>
      <c r="AE41" s="53">
        <f t="shared" si="4"/>
        <v>0</v>
      </c>
      <c r="AF41" s="45"/>
      <c r="AG41" s="51"/>
      <c r="AH41" s="52" t="s">
        <v>59</v>
      </c>
      <c r="AI41" s="44"/>
      <c r="AJ41" s="44"/>
      <c r="AK41" s="44"/>
      <c r="AL41" s="44"/>
      <c r="AM41" s="53">
        <f t="shared" si="5"/>
        <v>1</v>
      </c>
      <c r="AN41" s="45"/>
      <c r="AO41" s="51"/>
      <c r="AP41" s="52" t="s">
        <v>59</v>
      </c>
      <c r="AQ41" s="44"/>
      <c r="AR41" s="44"/>
      <c r="AS41" s="44"/>
      <c r="AT41" s="44"/>
      <c r="AU41" s="53">
        <f t="shared" si="6"/>
        <v>1</v>
      </c>
      <c r="AV41" s="45"/>
      <c r="AW41" s="51"/>
      <c r="AX41" s="52" t="s">
        <v>59</v>
      </c>
      <c r="AY41" s="44"/>
      <c r="AZ41" s="44"/>
      <c r="BA41" s="44"/>
      <c r="BB41" s="44"/>
      <c r="BC41" s="53">
        <f t="shared" si="7"/>
        <v>4</v>
      </c>
      <c r="BD41" s="45"/>
      <c r="BE41" s="38"/>
    </row>
    <row r="42" ht="7.5" customHeight="1">
      <c r="A42" s="5"/>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38"/>
    </row>
    <row r="43">
      <c r="A43" s="5"/>
      <c r="B43" s="54" t="s">
        <v>60</v>
      </c>
      <c r="C43" s="35"/>
      <c r="D43" s="35"/>
      <c r="E43" s="35"/>
      <c r="F43" s="35"/>
      <c r="G43" s="35"/>
      <c r="H43" s="36"/>
      <c r="I43" s="11"/>
      <c r="J43" s="54" t="s">
        <v>60</v>
      </c>
      <c r="K43" s="35"/>
      <c r="L43" s="35"/>
      <c r="M43" s="35"/>
      <c r="N43" s="35"/>
      <c r="O43" s="35"/>
      <c r="P43" s="36"/>
      <c r="Q43" s="11"/>
      <c r="R43" s="54" t="s">
        <v>60</v>
      </c>
      <c r="S43" s="35"/>
      <c r="T43" s="35"/>
      <c r="U43" s="35"/>
      <c r="V43" s="35"/>
      <c r="W43" s="35"/>
      <c r="X43" s="36"/>
      <c r="Y43" s="11"/>
      <c r="Z43" s="54" t="s">
        <v>60</v>
      </c>
      <c r="AA43" s="35"/>
      <c r="AB43" s="35"/>
      <c r="AC43" s="35"/>
      <c r="AD43" s="35"/>
      <c r="AE43" s="35"/>
      <c r="AF43" s="36"/>
      <c r="AG43" s="11"/>
      <c r="AH43" s="54" t="s">
        <v>60</v>
      </c>
      <c r="AI43" s="35"/>
      <c r="AJ43" s="35"/>
      <c r="AK43" s="35"/>
      <c r="AL43" s="35"/>
      <c r="AM43" s="35"/>
      <c r="AN43" s="36"/>
      <c r="AO43" s="11"/>
      <c r="AP43" s="54" t="s">
        <v>60</v>
      </c>
      <c r="AQ43" s="35"/>
      <c r="AR43" s="35"/>
      <c r="AS43" s="35"/>
      <c r="AT43" s="35"/>
      <c r="AU43" s="35"/>
      <c r="AV43" s="36"/>
      <c r="AW43" s="11"/>
      <c r="AX43" s="54" t="s">
        <v>60</v>
      </c>
      <c r="AY43" s="35"/>
      <c r="AZ43" s="35"/>
      <c r="BA43" s="35"/>
      <c r="BB43" s="35"/>
      <c r="BC43" s="35"/>
      <c r="BD43" s="36"/>
      <c r="BE43" s="38"/>
    </row>
    <row r="44">
      <c r="A44" s="5"/>
      <c r="B44" s="55" t="s">
        <v>61</v>
      </c>
      <c r="C44" s="56" t="s">
        <v>62</v>
      </c>
      <c r="D44" s="25"/>
      <c r="E44" s="25"/>
      <c r="F44" s="25"/>
      <c r="G44" s="25"/>
      <c r="H44" s="57"/>
      <c r="I44" s="11"/>
      <c r="J44" s="55" t="s">
        <v>61</v>
      </c>
      <c r="K44" s="56" t="s">
        <v>63</v>
      </c>
      <c r="L44" s="25"/>
      <c r="M44" s="25"/>
      <c r="N44" s="25"/>
      <c r="O44" s="25"/>
      <c r="P44" s="57"/>
      <c r="Q44" s="11"/>
      <c r="R44" s="55" t="s">
        <v>61</v>
      </c>
      <c r="S44" s="56" t="s">
        <v>64</v>
      </c>
      <c r="T44" s="25"/>
      <c r="U44" s="25"/>
      <c r="V44" s="25"/>
      <c r="W44" s="25"/>
      <c r="X44" s="57"/>
      <c r="Y44" s="11"/>
      <c r="Z44" s="55" t="s">
        <v>61</v>
      </c>
      <c r="AA44" s="56"/>
      <c r="AB44" s="25"/>
      <c r="AC44" s="25"/>
      <c r="AD44" s="25"/>
      <c r="AE44" s="25"/>
      <c r="AF44" s="57"/>
      <c r="AG44" s="11"/>
      <c r="AH44" s="55" t="s">
        <v>61</v>
      </c>
      <c r="AI44" s="56"/>
      <c r="AJ44" s="25"/>
      <c r="AK44" s="25"/>
      <c r="AL44" s="25"/>
      <c r="AM44" s="25"/>
      <c r="AN44" s="57"/>
      <c r="AO44" s="11"/>
      <c r="AP44" s="55" t="s">
        <v>61</v>
      </c>
      <c r="AQ44" s="56"/>
      <c r="AR44" s="25"/>
      <c r="AS44" s="25"/>
      <c r="AT44" s="25"/>
      <c r="AU44" s="25"/>
      <c r="AV44" s="57"/>
      <c r="AW44" s="11"/>
      <c r="AX44" s="55" t="s">
        <v>61</v>
      </c>
      <c r="AY44" s="56"/>
      <c r="AZ44" s="25"/>
      <c r="BA44" s="25"/>
      <c r="BB44" s="25"/>
      <c r="BC44" s="25"/>
      <c r="BD44" s="57"/>
      <c r="BE44" s="38"/>
    </row>
    <row r="45">
      <c r="A45" s="5"/>
      <c r="B45" s="55" t="s">
        <v>65</v>
      </c>
      <c r="C45" s="56"/>
      <c r="D45" s="25"/>
      <c r="E45" s="25"/>
      <c r="F45" s="25"/>
      <c r="G45" s="25"/>
      <c r="H45" s="57"/>
      <c r="I45" s="11"/>
      <c r="J45" s="55" t="s">
        <v>65</v>
      </c>
      <c r="K45" s="56" t="s">
        <v>66</v>
      </c>
      <c r="L45" s="25"/>
      <c r="M45" s="25"/>
      <c r="N45" s="25"/>
      <c r="O45" s="25"/>
      <c r="P45" s="57"/>
      <c r="Q45" s="11"/>
      <c r="R45" s="55" t="s">
        <v>65</v>
      </c>
      <c r="S45" s="58"/>
      <c r="T45" s="25"/>
      <c r="U45" s="25"/>
      <c r="V45" s="25"/>
      <c r="W45" s="25"/>
      <c r="X45" s="57"/>
      <c r="Y45" s="11"/>
      <c r="Z45" s="55" t="s">
        <v>65</v>
      </c>
      <c r="AA45" s="58"/>
      <c r="AB45" s="25"/>
      <c r="AC45" s="25"/>
      <c r="AD45" s="25"/>
      <c r="AE45" s="25"/>
      <c r="AF45" s="57"/>
      <c r="AG45" s="11"/>
      <c r="AH45" s="55" t="s">
        <v>65</v>
      </c>
      <c r="AI45" s="58"/>
      <c r="AJ45" s="25"/>
      <c r="AK45" s="25"/>
      <c r="AL45" s="25"/>
      <c r="AM45" s="25"/>
      <c r="AN45" s="57"/>
      <c r="AO45" s="11"/>
      <c r="AP45" s="55" t="s">
        <v>65</v>
      </c>
      <c r="AQ45" s="58"/>
      <c r="AR45" s="25"/>
      <c r="AS45" s="25"/>
      <c r="AT45" s="25"/>
      <c r="AU45" s="25"/>
      <c r="AV45" s="57"/>
      <c r="AW45" s="11"/>
      <c r="AX45" s="55" t="s">
        <v>65</v>
      </c>
      <c r="AY45" s="58"/>
      <c r="AZ45" s="25"/>
      <c r="BA45" s="25"/>
      <c r="BB45" s="25"/>
      <c r="BC45" s="25"/>
      <c r="BD45" s="57"/>
      <c r="BE45" s="38"/>
    </row>
    <row r="46">
      <c r="A46" s="5"/>
      <c r="B46" s="55" t="s">
        <v>67</v>
      </c>
      <c r="C46" s="58"/>
      <c r="D46" s="25"/>
      <c r="E46" s="25"/>
      <c r="F46" s="25"/>
      <c r="G46" s="25"/>
      <c r="H46" s="57"/>
      <c r="I46" s="11"/>
      <c r="J46" s="55" t="s">
        <v>67</v>
      </c>
      <c r="K46" s="58"/>
      <c r="L46" s="25"/>
      <c r="M46" s="25"/>
      <c r="N46" s="25"/>
      <c r="O46" s="25"/>
      <c r="P46" s="57"/>
      <c r="Q46" s="11"/>
      <c r="R46" s="55" t="s">
        <v>67</v>
      </c>
      <c r="S46" s="58"/>
      <c r="T46" s="25"/>
      <c r="U46" s="25"/>
      <c r="V46" s="25"/>
      <c r="W46" s="25"/>
      <c r="X46" s="57"/>
      <c r="Y46" s="11"/>
      <c r="Z46" s="55" t="s">
        <v>67</v>
      </c>
      <c r="AA46" s="58"/>
      <c r="AB46" s="25"/>
      <c r="AC46" s="25"/>
      <c r="AD46" s="25"/>
      <c r="AE46" s="25"/>
      <c r="AF46" s="57"/>
      <c r="AG46" s="11"/>
      <c r="AH46" s="55" t="s">
        <v>67</v>
      </c>
      <c r="AI46" s="58"/>
      <c r="AJ46" s="25"/>
      <c r="AK46" s="25"/>
      <c r="AL46" s="25"/>
      <c r="AM46" s="25"/>
      <c r="AN46" s="57"/>
      <c r="AO46" s="11"/>
      <c r="AP46" s="55" t="s">
        <v>67</v>
      </c>
      <c r="AQ46" s="58"/>
      <c r="AR46" s="25"/>
      <c r="AS46" s="25"/>
      <c r="AT46" s="25"/>
      <c r="AU46" s="25"/>
      <c r="AV46" s="57"/>
      <c r="AW46" s="11"/>
      <c r="AX46" s="55" t="s">
        <v>67</v>
      </c>
      <c r="AY46" s="58"/>
      <c r="AZ46" s="25"/>
      <c r="BA46" s="25"/>
      <c r="BB46" s="25"/>
      <c r="BC46" s="25"/>
      <c r="BD46" s="57"/>
      <c r="BE46" s="38"/>
    </row>
    <row r="47">
      <c r="A47" s="5"/>
      <c r="B47" s="59" t="s">
        <v>68</v>
      </c>
      <c r="H47" s="40"/>
      <c r="I47" s="11"/>
      <c r="J47" s="59" t="s">
        <v>68</v>
      </c>
      <c r="P47" s="40"/>
      <c r="Q47" s="11"/>
      <c r="R47" s="59" t="s">
        <v>68</v>
      </c>
      <c r="X47" s="40"/>
      <c r="Y47" s="11"/>
      <c r="Z47" s="59" t="s">
        <v>68</v>
      </c>
      <c r="AF47" s="40"/>
      <c r="AG47" s="11"/>
      <c r="AH47" s="59" t="s">
        <v>68</v>
      </c>
      <c r="AN47" s="40"/>
      <c r="AO47" s="11"/>
      <c r="AP47" s="59" t="s">
        <v>68</v>
      </c>
      <c r="AV47" s="40"/>
      <c r="AW47" s="11"/>
      <c r="AX47" s="59" t="s">
        <v>68</v>
      </c>
      <c r="BD47" s="40"/>
      <c r="BE47" s="38"/>
    </row>
    <row r="48">
      <c r="A48" s="5"/>
      <c r="B48" s="55" t="s">
        <v>61</v>
      </c>
      <c r="C48" s="56" t="s">
        <v>69</v>
      </c>
      <c r="D48" s="25"/>
      <c r="E48" s="25"/>
      <c r="F48" s="25"/>
      <c r="G48" s="25"/>
      <c r="H48" s="57"/>
      <c r="I48" s="11"/>
      <c r="J48" s="55" t="s">
        <v>61</v>
      </c>
      <c r="K48" s="56" t="s">
        <v>70</v>
      </c>
      <c r="L48" s="25"/>
      <c r="M48" s="25"/>
      <c r="N48" s="25"/>
      <c r="O48" s="25"/>
      <c r="P48" s="57"/>
      <c r="Q48" s="11"/>
      <c r="R48" s="55" t="s">
        <v>61</v>
      </c>
      <c r="S48" s="56" t="s">
        <v>71</v>
      </c>
      <c r="T48" s="25"/>
      <c r="U48" s="25"/>
      <c r="V48" s="25"/>
      <c r="W48" s="25"/>
      <c r="X48" s="57"/>
      <c r="Y48" s="11"/>
      <c r="Z48" s="55" t="s">
        <v>61</v>
      </c>
      <c r="AA48" s="56"/>
      <c r="AB48" s="25"/>
      <c r="AC48" s="25"/>
      <c r="AD48" s="25"/>
      <c r="AE48" s="25"/>
      <c r="AF48" s="57"/>
      <c r="AG48" s="11"/>
      <c r="AH48" s="55" t="s">
        <v>61</v>
      </c>
      <c r="AI48" s="56"/>
      <c r="AJ48" s="25"/>
      <c r="AK48" s="25"/>
      <c r="AL48" s="25"/>
      <c r="AM48" s="25"/>
      <c r="AN48" s="57"/>
      <c r="AO48" s="11"/>
      <c r="AP48" s="55" t="s">
        <v>61</v>
      </c>
      <c r="AQ48" s="56"/>
      <c r="AR48" s="25"/>
      <c r="AS48" s="25"/>
      <c r="AT48" s="25"/>
      <c r="AU48" s="25"/>
      <c r="AV48" s="57"/>
      <c r="AW48" s="11"/>
      <c r="AX48" s="55" t="s">
        <v>61</v>
      </c>
      <c r="AY48" s="56"/>
      <c r="AZ48" s="25"/>
      <c r="BA48" s="25"/>
      <c r="BB48" s="25"/>
      <c r="BC48" s="25"/>
      <c r="BD48" s="57"/>
      <c r="BE48" s="38"/>
    </row>
    <row r="49">
      <c r="A49" s="5"/>
      <c r="B49" s="55" t="s">
        <v>65</v>
      </c>
      <c r="C49" s="56" t="s">
        <v>72</v>
      </c>
      <c r="D49" s="25"/>
      <c r="E49" s="25"/>
      <c r="F49" s="25"/>
      <c r="G49" s="25"/>
      <c r="H49" s="57"/>
      <c r="I49" s="11"/>
      <c r="J49" s="55" t="s">
        <v>65</v>
      </c>
      <c r="K49" s="56" t="s">
        <v>73</v>
      </c>
      <c r="L49" s="25"/>
      <c r="M49" s="25"/>
      <c r="N49" s="25"/>
      <c r="O49" s="25"/>
      <c r="P49" s="57"/>
      <c r="Q49" s="11"/>
      <c r="R49" s="55" t="s">
        <v>65</v>
      </c>
      <c r="S49" s="58"/>
      <c r="T49" s="25"/>
      <c r="U49" s="25"/>
      <c r="V49" s="25"/>
      <c r="W49" s="25"/>
      <c r="X49" s="57"/>
      <c r="Y49" s="11"/>
      <c r="Z49" s="55" t="s">
        <v>65</v>
      </c>
      <c r="AA49" s="58"/>
      <c r="AB49" s="25"/>
      <c r="AC49" s="25"/>
      <c r="AD49" s="25"/>
      <c r="AE49" s="25"/>
      <c r="AF49" s="57"/>
      <c r="AG49" s="11"/>
      <c r="AH49" s="55" t="s">
        <v>65</v>
      </c>
      <c r="AI49" s="58"/>
      <c r="AJ49" s="25"/>
      <c r="AK49" s="25"/>
      <c r="AL49" s="25"/>
      <c r="AM49" s="25"/>
      <c r="AN49" s="57"/>
      <c r="AO49" s="11"/>
      <c r="AP49" s="55" t="s">
        <v>65</v>
      </c>
      <c r="AQ49" s="58"/>
      <c r="AR49" s="25"/>
      <c r="AS49" s="25"/>
      <c r="AT49" s="25"/>
      <c r="AU49" s="25"/>
      <c r="AV49" s="57"/>
      <c r="AW49" s="11"/>
      <c r="AX49" s="55" t="s">
        <v>65</v>
      </c>
      <c r="AY49" s="58"/>
      <c r="AZ49" s="25"/>
      <c r="BA49" s="25"/>
      <c r="BB49" s="25"/>
      <c r="BC49" s="25"/>
      <c r="BD49" s="57"/>
      <c r="BE49" s="38"/>
    </row>
    <row r="50">
      <c r="A50" s="5"/>
      <c r="B50" s="55" t="s">
        <v>67</v>
      </c>
      <c r="C50" s="58"/>
      <c r="D50" s="25"/>
      <c r="E50" s="25"/>
      <c r="F50" s="25"/>
      <c r="G50" s="25"/>
      <c r="H50" s="57"/>
      <c r="I50" s="11"/>
      <c r="J50" s="55" t="s">
        <v>67</v>
      </c>
      <c r="K50" s="58"/>
      <c r="L50" s="25"/>
      <c r="M50" s="25"/>
      <c r="N50" s="25"/>
      <c r="O50" s="25"/>
      <c r="P50" s="57"/>
      <c r="Q50" s="11"/>
      <c r="R50" s="55" t="s">
        <v>67</v>
      </c>
      <c r="S50" s="58"/>
      <c r="T50" s="25"/>
      <c r="U50" s="25"/>
      <c r="V50" s="25"/>
      <c r="W50" s="25"/>
      <c r="X50" s="57"/>
      <c r="Y50" s="11"/>
      <c r="Z50" s="55" t="s">
        <v>67</v>
      </c>
      <c r="AA50" s="58"/>
      <c r="AB50" s="25"/>
      <c r="AC50" s="25"/>
      <c r="AD50" s="25"/>
      <c r="AE50" s="25"/>
      <c r="AF50" s="57"/>
      <c r="AG50" s="11"/>
      <c r="AH50" s="55" t="s">
        <v>67</v>
      </c>
      <c r="AI50" s="58"/>
      <c r="AJ50" s="25"/>
      <c r="AK50" s="25"/>
      <c r="AL50" s="25"/>
      <c r="AM50" s="25"/>
      <c r="AN50" s="57"/>
      <c r="AO50" s="11"/>
      <c r="AP50" s="55" t="s">
        <v>67</v>
      </c>
      <c r="AQ50" s="58"/>
      <c r="AR50" s="25"/>
      <c r="AS50" s="25"/>
      <c r="AT50" s="25"/>
      <c r="AU50" s="25"/>
      <c r="AV50" s="57"/>
      <c r="AW50" s="11"/>
      <c r="AX50" s="55" t="s">
        <v>67</v>
      </c>
      <c r="AY50" s="58"/>
      <c r="AZ50" s="25"/>
      <c r="BA50" s="25"/>
      <c r="BB50" s="25"/>
      <c r="BC50" s="25"/>
      <c r="BD50" s="57"/>
      <c r="BE50" s="38"/>
    </row>
    <row r="51">
      <c r="A51" s="5"/>
      <c r="B51" s="59" t="s">
        <v>74</v>
      </c>
      <c r="H51" s="40"/>
      <c r="I51" s="11"/>
      <c r="J51" s="59" t="s">
        <v>74</v>
      </c>
      <c r="P51" s="40"/>
      <c r="Q51" s="11"/>
      <c r="R51" s="59" t="s">
        <v>74</v>
      </c>
      <c r="X51" s="40"/>
      <c r="Y51" s="11"/>
      <c r="Z51" s="59" t="s">
        <v>74</v>
      </c>
      <c r="AF51" s="40"/>
      <c r="AG51" s="11"/>
      <c r="AH51" s="59" t="s">
        <v>74</v>
      </c>
      <c r="AN51" s="40"/>
      <c r="AO51" s="11"/>
      <c r="AP51" s="59" t="s">
        <v>74</v>
      </c>
      <c r="AV51" s="40"/>
      <c r="AW51" s="11"/>
      <c r="AX51" s="59" t="s">
        <v>74</v>
      </c>
      <c r="BD51" s="40"/>
      <c r="BE51" s="38"/>
    </row>
    <row r="52">
      <c r="A52" s="5"/>
      <c r="B52" s="55" t="s">
        <v>61</v>
      </c>
      <c r="C52" s="56" t="s">
        <v>75</v>
      </c>
      <c r="D52" s="25"/>
      <c r="E52" s="25"/>
      <c r="F52" s="25"/>
      <c r="G52" s="25"/>
      <c r="H52" s="57"/>
      <c r="I52" s="11"/>
      <c r="J52" s="55" t="s">
        <v>61</v>
      </c>
      <c r="K52" s="56" t="s">
        <v>76</v>
      </c>
      <c r="L52" s="25"/>
      <c r="M52" s="25"/>
      <c r="N52" s="25"/>
      <c r="O52" s="25"/>
      <c r="P52" s="57"/>
      <c r="Q52" s="11"/>
      <c r="R52" s="55" t="s">
        <v>61</v>
      </c>
      <c r="S52" s="56" t="s">
        <v>77</v>
      </c>
      <c r="T52" s="25"/>
      <c r="U52" s="25"/>
      <c r="V52" s="25"/>
      <c r="W52" s="25"/>
      <c r="X52" s="57"/>
      <c r="Y52" s="11"/>
      <c r="Z52" s="55" t="s">
        <v>61</v>
      </c>
      <c r="AA52" s="56"/>
      <c r="AB52" s="25"/>
      <c r="AC52" s="25"/>
      <c r="AD52" s="25"/>
      <c r="AE52" s="25"/>
      <c r="AF52" s="57"/>
      <c r="AG52" s="11"/>
      <c r="AH52" s="55" t="s">
        <v>61</v>
      </c>
      <c r="AI52" s="56"/>
      <c r="AJ52" s="25"/>
      <c r="AK52" s="25"/>
      <c r="AL52" s="25"/>
      <c r="AM52" s="25"/>
      <c r="AN52" s="57"/>
      <c r="AO52" s="11"/>
      <c r="AP52" s="55" t="s">
        <v>61</v>
      </c>
      <c r="AQ52" s="56"/>
      <c r="AR52" s="25"/>
      <c r="AS52" s="25"/>
      <c r="AT52" s="25"/>
      <c r="AU52" s="25"/>
      <c r="AV52" s="57"/>
      <c r="AW52" s="11"/>
      <c r="AX52" s="55" t="s">
        <v>61</v>
      </c>
      <c r="AY52" s="56"/>
      <c r="AZ52" s="25"/>
      <c r="BA52" s="25"/>
      <c r="BB52" s="25"/>
      <c r="BC52" s="25"/>
      <c r="BD52" s="57"/>
      <c r="BE52" s="38"/>
    </row>
    <row r="53">
      <c r="A53" s="5"/>
      <c r="B53" s="55" t="s">
        <v>65</v>
      </c>
      <c r="C53" s="56" t="s">
        <v>78</v>
      </c>
      <c r="D53" s="25"/>
      <c r="E53" s="25"/>
      <c r="F53" s="25"/>
      <c r="G53" s="25"/>
      <c r="H53" s="57"/>
      <c r="I53" s="11"/>
      <c r="J53" s="55" t="s">
        <v>65</v>
      </c>
      <c r="K53" s="58"/>
      <c r="L53" s="25"/>
      <c r="M53" s="25"/>
      <c r="N53" s="25"/>
      <c r="O53" s="25"/>
      <c r="P53" s="57"/>
      <c r="Q53" s="11"/>
      <c r="R53" s="55" t="s">
        <v>65</v>
      </c>
      <c r="S53" s="58"/>
      <c r="T53" s="25"/>
      <c r="U53" s="25"/>
      <c r="V53" s="25"/>
      <c r="W53" s="25"/>
      <c r="X53" s="57"/>
      <c r="Y53" s="11"/>
      <c r="Z53" s="55" t="s">
        <v>65</v>
      </c>
      <c r="AA53" s="58"/>
      <c r="AB53" s="25"/>
      <c r="AC53" s="25"/>
      <c r="AD53" s="25"/>
      <c r="AE53" s="25"/>
      <c r="AF53" s="57"/>
      <c r="AG53" s="11"/>
      <c r="AH53" s="55" t="s">
        <v>65</v>
      </c>
      <c r="AI53" s="58"/>
      <c r="AJ53" s="25"/>
      <c r="AK53" s="25"/>
      <c r="AL53" s="25"/>
      <c r="AM53" s="25"/>
      <c r="AN53" s="57"/>
      <c r="AO53" s="11"/>
      <c r="AP53" s="55" t="s">
        <v>65</v>
      </c>
      <c r="AQ53" s="58"/>
      <c r="AR53" s="25"/>
      <c r="AS53" s="25"/>
      <c r="AT53" s="25"/>
      <c r="AU53" s="25"/>
      <c r="AV53" s="57"/>
      <c r="AW53" s="11"/>
      <c r="AX53" s="55" t="s">
        <v>65</v>
      </c>
      <c r="AY53" s="58"/>
      <c r="AZ53" s="25"/>
      <c r="BA53" s="25"/>
      <c r="BB53" s="25"/>
      <c r="BC53" s="25"/>
      <c r="BD53" s="57"/>
      <c r="BE53" s="5"/>
    </row>
    <row r="54">
      <c r="A54" s="5"/>
      <c r="B54" s="55" t="s">
        <v>67</v>
      </c>
      <c r="C54" s="58"/>
      <c r="D54" s="25"/>
      <c r="E54" s="25"/>
      <c r="F54" s="25"/>
      <c r="G54" s="25"/>
      <c r="H54" s="57"/>
      <c r="I54" s="11"/>
      <c r="J54" s="55" t="s">
        <v>67</v>
      </c>
      <c r="K54" s="58"/>
      <c r="L54" s="25"/>
      <c r="M54" s="25"/>
      <c r="N54" s="25"/>
      <c r="O54" s="25"/>
      <c r="P54" s="57"/>
      <c r="Q54" s="11"/>
      <c r="R54" s="55" t="s">
        <v>67</v>
      </c>
      <c r="S54" s="58"/>
      <c r="T54" s="25"/>
      <c r="U54" s="25"/>
      <c r="V54" s="25"/>
      <c r="W54" s="25"/>
      <c r="X54" s="57"/>
      <c r="Y54" s="11"/>
      <c r="Z54" s="55" t="s">
        <v>67</v>
      </c>
      <c r="AA54" s="58"/>
      <c r="AB54" s="25"/>
      <c r="AC54" s="25"/>
      <c r="AD54" s="25"/>
      <c r="AE54" s="25"/>
      <c r="AF54" s="57"/>
      <c r="AG54" s="11"/>
      <c r="AH54" s="55" t="s">
        <v>67</v>
      </c>
      <c r="AI54" s="58"/>
      <c r="AJ54" s="25"/>
      <c r="AK54" s="25"/>
      <c r="AL54" s="25"/>
      <c r="AM54" s="25"/>
      <c r="AN54" s="57"/>
      <c r="AO54" s="11"/>
      <c r="AP54" s="55" t="s">
        <v>67</v>
      </c>
      <c r="AQ54" s="58"/>
      <c r="AR54" s="25"/>
      <c r="AS54" s="25"/>
      <c r="AT54" s="25"/>
      <c r="AU54" s="25"/>
      <c r="AV54" s="57"/>
      <c r="AW54" s="11"/>
      <c r="AX54" s="55" t="s">
        <v>67</v>
      </c>
      <c r="AY54" s="58"/>
      <c r="AZ54" s="25"/>
      <c r="BA54" s="25"/>
      <c r="BB54" s="25"/>
      <c r="BC54" s="25"/>
      <c r="BD54" s="57"/>
      <c r="BE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row>
    <row r="57" hidden="1"/>
    <row r="58" hidden="1">
      <c r="B58" s="60" t="s">
        <v>79</v>
      </c>
      <c r="C58" s="60"/>
      <c r="D58" s="60"/>
      <c r="E58" s="60" t="s">
        <v>80</v>
      </c>
      <c r="F58" s="60"/>
      <c r="G58" s="60"/>
      <c r="H58" s="60" t="s">
        <v>81</v>
      </c>
      <c r="I58" s="60"/>
      <c r="J58" s="60"/>
      <c r="K58" s="60"/>
      <c r="L58" s="60" t="s">
        <v>82</v>
      </c>
      <c r="M58" s="60"/>
      <c r="N58" s="60"/>
      <c r="O58" s="60" t="s">
        <v>83</v>
      </c>
      <c r="P58" s="60"/>
      <c r="Q58" s="60"/>
      <c r="R58" s="60"/>
      <c r="S58" s="60" t="s">
        <v>84</v>
      </c>
      <c r="T58" s="60"/>
      <c r="U58" s="60"/>
      <c r="V58" s="60" t="s">
        <v>85</v>
      </c>
      <c r="W58" s="60"/>
      <c r="Z58" s="61" t="s">
        <v>86</v>
      </c>
    </row>
    <row r="59" hidden="1">
      <c r="B59" s="60" t="s">
        <v>87</v>
      </c>
      <c r="C59" s="60" t="s">
        <v>88</v>
      </c>
      <c r="D59" s="60"/>
      <c r="E59" s="60" t="s">
        <v>87</v>
      </c>
      <c r="F59" s="60" t="s">
        <v>88</v>
      </c>
      <c r="G59" s="60"/>
      <c r="H59" s="60" t="s">
        <v>87</v>
      </c>
      <c r="I59" s="60"/>
      <c r="J59" s="60" t="s">
        <v>88</v>
      </c>
      <c r="K59" s="60"/>
      <c r="L59" s="60" t="s">
        <v>87</v>
      </c>
      <c r="M59" s="60" t="s">
        <v>88</v>
      </c>
      <c r="N59" s="60"/>
      <c r="O59" s="60" t="s">
        <v>87</v>
      </c>
      <c r="P59" s="60" t="s">
        <v>88</v>
      </c>
      <c r="Q59" s="60"/>
      <c r="R59" s="60"/>
      <c r="S59" s="60" t="s">
        <v>87</v>
      </c>
      <c r="T59" s="60" t="s">
        <v>88</v>
      </c>
      <c r="U59" s="60"/>
      <c r="V59" s="60" t="s">
        <v>87</v>
      </c>
      <c r="W59" s="60" t="s">
        <v>88</v>
      </c>
    </row>
    <row r="60" hidden="1">
      <c r="B60" s="60" t="s">
        <v>89</v>
      </c>
      <c r="C60" s="62">
        <f>COUNTIF(H25:H39,TRUE)</f>
        <v>5</v>
      </c>
      <c r="D60" s="60"/>
      <c r="E60" s="60" t="s">
        <v>89</v>
      </c>
      <c r="F60" s="62">
        <f>COUNTIF(P25:P39,TRUE)</f>
        <v>4</v>
      </c>
      <c r="G60" s="60"/>
      <c r="H60" s="60" t="s">
        <v>89</v>
      </c>
      <c r="I60" s="60"/>
      <c r="J60" s="62">
        <f>COUNTIF(X25:X39,TRUE)</f>
        <v>5</v>
      </c>
      <c r="K60" s="60"/>
      <c r="L60" s="60" t="s">
        <v>89</v>
      </c>
      <c r="M60" s="62">
        <f>COUNTIF(AF25:AF39,TRUE)</f>
        <v>4</v>
      </c>
      <c r="N60" s="60"/>
      <c r="O60" s="60" t="s">
        <v>89</v>
      </c>
      <c r="P60" s="62">
        <f>COUNTIF(AN25:AN39,TRUE)</f>
        <v>5</v>
      </c>
      <c r="Q60" s="60"/>
      <c r="R60" s="60"/>
      <c r="S60" s="60" t="s">
        <v>89</v>
      </c>
      <c r="T60" s="62">
        <f>COUNTIF(AV25:AV39,TRUE)</f>
        <v>3</v>
      </c>
      <c r="U60" s="60"/>
      <c r="V60" s="60" t="s">
        <v>89</v>
      </c>
      <c r="W60" s="62">
        <f>COUNTIF(BD25:BCW39,TRUE)</f>
        <v>2</v>
      </c>
    </row>
    <row r="61" hidden="1">
      <c r="B61" s="60" t="s">
        <v>90</v>
      </c>
      <c r="C61" s="62">
        <f>IF(COUNTA(B25:G39)-C60&lt;0,0,COUNTA(B25:G39)-C60)</f>
        <v>0</v>
      </c>
      <c r="D61" s="60"/>
      <c r="E61" s="60" t="s">
        <v>90</v>
      </c>
      <c r="F61" s="62">
        <f>IF(COUNTA(J25:O39)-F60&lt;0,0,COUNTA(J25:O39)-F60)</f>
        <v>3</v>
      </c>
      <c r="G61" s="60"/>
      <c r="H61" s="60" t="s">
        <v>90</v>
      </c>
      <c r="I61" s="60"/>
      <c r="J61" s="62">
        <f>IF(COUNTA(R25:W39)-J60&lt;0,0,COUNTA(R25:W39)-J60)</f>
        <v>0</v>
      </c>
      <c r="K61" s="60"/>
      <c r="L61" s="60" t="s">
        <v>90</v>
      </c>
      <c r="M61" s="62">
        <f>IF(COUNTA(Z25:AE39)-M60&lt;0,0,COUNTA(Z25:AE39)-M60)</f>
        <v>0</v>
      </c>
      <c r="N61" s="60"/>
      <c r="O61" s="60" t="s">
        <v>90</v>
      </c>
      <c r="P61" s="62">
        <f>IF(COUNTA(AH25:AM39)-P60&lt;0,0,COUNTA(AH25:AM39)-P60)</f>
        <v>1</v>
      </c>
      <c r="Q61" s="60"/>
      <c r="R61" s="60"/>
      <c r="S61" s="60" t="s">
        <v>90</v>
      </c>
      <c r="T61" s="62">
        <f>IF(COUNTA(AP25:AU39)-T60&lt;0,0,COUNTA(AP25:AU39)-T60)</f>
        <v>1</v>
      </c>
      <c r="U61" s="60"/>
      <c r="V61" s="60" t="s">
        <v>90</v>
      </c>
      <c r="W61" s="62">
        <f>IF(COUNTA(AX25:BC39)-W60&lt;0,0,COUNTA(AX25:BC39)-W60)</f>
        <v>4</v>
      </c>
    </row>
    <row r="62" hidden="1"/>
    <row r="63" hidden="1">
      <c r="B63" s="63" t="s">
        <v>91</v>
      </c>
      <c r="C63" s="60"/>
    </row>
    <row r="64" hidden="1">
      <c r="B64" s="60" t="s">
        <v>87</v>
      </c>
      <c r="C64" s="60" t="s">
        <v>88</v>
      </c>
    </row>
    <row r="65" hidden="1">
      <c r="B65" s="60" t="s">
        <v>89</v>
      </c>
      <c r="C65" s="64">
        <f>C60+F60+J60+M60+P60+T60+W60</f>
        <v>28</v>
      </c>
    </row>
    <row r="66" hidden="1">
      <c r="B66" s="60" t="s">
        <v>90</v>
      </c>
      <c r="C66" s="64">
        <f>COUNTA(B25:G39,J25:O39,R25:W39,Z25:AE39,AH25:AM39,AP25:AU39,AX25:BC39)-C65</f>
        <v>9</v>
      </c>
    </row>
    <row r="67" hidden="1"/>
    <row r="68" hidden="1">
      <c r="B68" s="63" t="s">
        <v>92</v>
      </c>
      <c r="C68" s="60"/>
      <c r="D68" s="60"/>
      <c r="E68" s="60"/>
    </row>
    <row r="69" hidden="1">
      <c r="B69" s="60" t="s">
        <v>93</v>
      </c>
      <c r="C69" s="60" t="s">
        <v>93</v>
      </c>
      <c r="D69" s="60" t="s">
        <v>89</v>
      </c>
      <c r="E69" s="60" t="s">
        <v>90</v>
      </c>
    </row>
    <row r="70" hidden="1">
      <c r="B70" s="60" t="s">
        <v>79</v>
      </c>
      <c r="C70" s="60" t="str">
        <f>TEXT(B15,"ddd")</f>
        <v>Sun</v>
      </c>
      <c r="D70" s="64">
        <f>C60</f>
        <v>5</v>
      </c>
      <c r="E70" s="64">
        <f>C61</f>
        <v>0</v>
      </c>
    </row>
    <row r="71" hidden="1">
      <c r="B71" s="60" t="s">
        <v>80</v>
      </c>
      <c r="C71" s="60" t="str">
        <f>TEXT(J15,"ddd")</f>
        <v>Mon</v>
      </c>
      <c r="D71" s="64">
        <f>F60</f>
        <v>4</v>
      </c>
      <c r="E71" s="64">
        <f>F61</f>
        <v>3</v>
      </c>
    </row>
    <row r="72" hidden="1">
      <c r="B72" s="60" t="s">
        <v>81</v>
      </c>
      <c r="C72" s="60" t="str">
        <f>TEXT(R15,"ddd")</f>
        <v>Tue</v>
      </c>
      <c r="D72" s="64">
        <f>J60</f>
        <v>5</v>
      </c>
      <c r="E72" s="64">
        <f>J61</f>
        <v>0</v>
      </c>
    </row>
    <row r="73" hidden="1">
      <c r="B73" s="60" t="s">
        <v>82</v>
      </c>
      <c r="C73" s="60" t="str">
        <f>TEXT(Z15,"ddd")</f>
        <v>Wed</v>
      </c>
      <c r="D73" s="64">
        <f>M60</f>
        <v>4</v>
      </c>
      <c r="E73" s="64">
        <f>M61</f>
        <v>0</v>
      </c>
    </row>
    <row r="74" hidden="1">
      <c r="B74" s="60" t="s">
        <v>83</v>
      </c>
      <c r="C74" s="60" t="str">
        <f>TEXT(AH15,"ddd")</f>
        <v>Thu</v>
      </c>
      <c r="D74" s="64">
        <f>P60</f>
        <v>5</v>
      </c>
      <c r="E74" s="64">
        <f>P61</f>
        <v>1</v>
      </c>
    </row>
    <row r="75" hidden="1">
      <c r="B75" s="60" t="s">
        <v>84</v>
      </c>
      <c r="C75" s="60" t="str">
        <f>TEXT(AP15,"ddd")</f>
        <v>Fri</v>
      </c>
      <c r="D75" s="64">
        <f>T60</f>
        <v>3</v>
      </c>
      <c r="E75" s="64">
        <f>T61</f>
        <v>1</v>
      </c>
    </row>
    <row r="76" hidden="1">
      <c r="B76" s="60" t="s">
        <v>85</v>
      </c>
      <c r="C76" s="60" t="str">
        <f>TEXT(AX15,"ddd")</f>
        <v>Sat</v>
      </c>
      <c r="D76" s="64">
        <f>W60</f>
        <v>2</v>
      </c>
      <c r="E76" s="64">
        <f>W61</f>
        <v>4</v>
      </c>
    </row>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mergeCells count="278">
    <mergeCell ref="AP37:AU37"/>
    <mergeCell ref="AP38:AU38"/>
    <mergeCell ref="AP30:AU30"/>
    <mergeCell ref="AP31:AU31"/>
    <mergeCell ref="AP32:AU32"/>
    <mergeCell ref="AP33:AU33"/>
    <mergeCell ref="AP34:AU34"/>
    <mergeCell ref="AP35:AU35"/>
    <mergeCell ref="AP36:AU36"/>
    <mergeCell ref="Z24:AF24"/>
    <mergeCell ref="Z25:AE25"/>
    <mergeCell ref="R26:W26"/>
    <mergeCell ref="AH26:AM26"/>
    <mergeCell ref="AX26:BC26"/>
    <mergeCell ref="AH27:AM27"/>
    <mergeCell ref="AX27:BC27"/>
    <mergeCell ref="R27:W27"/>
    <mergeCell ref="R28:W28"/>
    <mergeCell ref="Z28:AE28"/>
    <mergeCell ref="AH28:AM28"/>
    <mergeCell ref="R29:W29"/>
    <mergeCell ref="AH29:AM29"/>
    <mergeCell ref="AH30:AM30"/>
    <mergeCell ref="AP26:AU26"/>
    <mergeCell ref="AP27:AU27"/>
    <mergeCell ref="AP28:AU28"/>
    <mergeCell ref="AX28:BC28"/>
    <mergeCell ref="AP29:AU29"/>
    <mergeCell ref="AX29:BC29"/>
    <mergeCell ref="AX30:BC30"/>
    <mergeCell ref="R30:W30"/>
    <mergeCell ref="R31:W31"/>
    <mergeCell ref="R32:W32"/>
    <mergeCell ref="R33:W33"/>
    <mergeCell ref="R34:W34"/>
    <mergeCell ref="R35:W35"/>
    <mergeCell ref="R36:W36"/>
    <mergeCell ref="AH38:AM38"/>
    <mergeCell ref="AH39:AM39"/>
    <mergeCell ref="AP39:AU39"/>
    <mergeCell ref="AH31:AM31"/>
    <mergeCell ref="AH32:AM32"/>
    <mergeCell ref="AH33:AM33"/>
    <mergeCell ref="AH34:AM34"/>
    <mergeCell ref="AH35:AM35"/>
    <mergeCell ref="AH36:AM36"/>
    <mergeCell ref="AH37:AM37"/>
    <mergeCell ref="Z40:AD40"/>
    <mergeCell ref="AE40:AF40"/>
    <mergeCell ref="AH40:AL40"/>
    <mergeCell ref="AM40:AN40"/>
    <mergeCell ref="AP40:AT40"/>
    <mergeCell ref="AU40:AV40"/>
    <mergeCell ref="AX40:BB40"/>
    <mergeCell ref="J47:P47"/>
    <mergeCell ref="K48:P48"/>
    <mergeCell ref="B43:H43"/>
    <mergeCell ref="C44:H44"/>
    <mergeCell ref="C45:H45"/>
    <mergeCell ref="C46:H46"/>
    <mergeCell ref="K46:P46"/>
    <mergeCell ref="B47:H47"/>
    <mergeCell ref="C48:H48"/>
    <mergeCell ref="C52:H52"/>
    <mergeCell ref="C53:H53"/>
    <mergeCell ref="C54:H54"/>
    <mergeCell ref="C49:H49"/>
    <mergeCell ref="K49:P49"/>
    <mergeCell ref="C50:H50"/>
    <mergeCell ref="K50:P50"/>
    <mergeCell ref="B51:H51"/>
    <mergeCell ref="J51:P51"/>
    <mergeCell ref="K52:P52"/>
    <mergeCell ref="B2:K9"/>
    <mergeCell ref="B10:F11"/>
    <mergeCell ref="G10:K11"/>
    <mergeCell ref="B13:H14"/>
    <mergeCell ref="J13:P14"/>
    <mergeCell ref="B15:H15"/>
    <mergeCell ref="B16:H22"/>
    <mergeCell ref="B25:G25"/>
    <mergeCell ref="J25:O25"/>
    <mergeCell ref="B26:G26"/>
    <mergeCell ref="J26:O26"/>
    <mergeCell ref="B27:G27"/>
    <mergeCell ref="J27:O27"/>
    <mergeCell ref="J28:O28"/>
    <mergeCell ref="B28:G28"/>
    <mergeCell ref="B29:G29"/>
    <mergeCell ref="B30:G30"/>
    <mergeCell ref="B31:G31"/>
    <mergeCell ref="B32:G32"/>
    <mergeCell ref="B33:G33"/>
    <mergeCell ref="B34:G34"/>
    <mergeCell ref="J29:O29"/>
    <mergeCell ref="J30:O30"/>
    <mergeCell ref="J31:O31"/>
    <mergeCell ref="J32:O32"/>
    <mergeCell ref="J33:O33"/>
    <mergeCell ref="J34:O34"/>
    <mergeCell ref="J35:O35"/>
    <mergeCell ref="B41:F41"/>
    <mergeCell ref="G41:H41"/>
    <mergeCell ref="J41:N41"/>
    <mergeCell ref="O41:P41"/>
    <mergeCell ref="B35:G35"/>
    <mergeCell ref="B36:G36"/>
    <mergeCell ref="B37:G37"/>
    <mergeCell ref="B38:G38"/>
    <mergeCell ref="B39:G39"/>
    <mergeCell ref="B40:F40"/>
    <mergeCell ref="G40:H40"/>
    <mergeCell ref="K53:P53"/>
    <mergeCell ref="K54:P54"/>
    <mergeCell ref="R51:X51"/>
    <mergeCell ref="Z51:AF51"/>
    <mergeCell ref="AH51:AN51"/>
    <mergeCell ref="AP51:AV51"/>
    <mergeCell ref="AA52:AF52"/>
    <mergeCell ref="AI52:AN52"/>
    <mergeCell ref="AQ52:AV52"/>
    <mergeCell ref="S52:X52"/>
    <mergeCell ref="S53:X53"/>
    <mergeCell ref="AA53:AF53"/>
    <mergeCell ref="AI53:AN53"/>
    <mergeCell ref="S54:X54"/>
    <mergeCell ref="AA54:AF54"/>
    <mergeCell ref="AI54:AN54"/>
    <mergeCell ref="R41:V41"/>
    <mergeCell ref="W41:X41"/>
    <mergeCell ref="Z41:AD41"/>
    <mergeCell ref="AE41:AF41"/>
    <mergeCell ref="AH41:AL41"/>
    <mergeCell ref="AM41:AN41"/>
    <mergeCell ref="AP41:AT41"/>
    <mergeCell ref="AU41:AV41"/>
    <mergeCell ref="R37:W37"/>
    <mergeCell ref="R38:W38"/>
    <mergeCell ref="Z38:AE38"/>
    <mergeCell ref="R39:W39"/>
    <mergeCell ref="Z39:AE39"/>
    <mergeCell ref="R40:V40"/>
    <mergeCell ref="W40:X40"/>
    <mergeCell ref="R43:X43"/>
    <mergeCell ref="Z43:AF43"/>
    <mergeCell ref="AH43:AN43"/>
    <mergeCell ref="AP43:AV43"/>
    <mergeCell ref="AA44:AF44"/>
    <mergeCell ref="AI44:AN44"/>
    <mergeCell ref="AQ44:AV44"/>
    <mergeCell ref="AQ45:AV45"/>
    <mergeCell ref="AQ46:AV46"/>
    <mergeCell ref="S44:X44"/>
    <mergeCell ref="S45:X45"/>
    <mergeCell ref="AA45:AF45"/>
    <mergeCell ref="AI45:AN45"/>
    <mergeCell ref="S46:X46"/>
    <mergeCell ref="AA46:AF46"/>
    <mergeCell ref="AI46:AN46"/>
    <mergeCell ref="AQ49:AV49"/>
    <mergeCell ref="AQ50:AV50"/>
    <mergeCell ref="AQ53:AV53"/>
    <mergeCell ref="AQ54:AV54"/>
    <mergeCell ref="AW4:BB4"/>
    <mergeCell ref="BC4:BD4"/>
    <mergeCell ref="AJ5:AO5"/>
    <mergeCell ref="AW5:BB5"/>
    <mergeCell ref="AJ4:AO4"/>
    <mergeCell ref="AJ6:AO6"/>
    <mergeCell ref="AW6:BB6"/>
    <mergeCell ref="BC6:BD6"/>
    <mergeCell ref="AJ7:AO7"/>
    <mergeCell ref="AW7:BB7"/>
    <mergeCell ref="AW8:BB8"/>
    <mergeCell ref="BC8:BD8"/>
    <mergeCell ref="AJ9:AO9"/>
    <mergeCell ref="AW9:BB9"/>
    <mergeCell ref="AP24:AV24"/>
    <mergeCell ref="AP25:AU25"/>
    <mergeCell ref="B24:H24"/>
    <mergeCell ref="J24:P24"/>
    <mergeCell ref="R24:X24"/>
    <mergeCell ref="AH24:AN24"/>
    <mergeCell ref="AX24:BD24"/>
    <mergeCell ref="R25:W25"/>
    <mergeCell ref="AH25:AM25"/>
    <mergeCell ref="AX25:BC25"/>
    <mergeCell ref="AJ3:AO3"/>
    <mergeCell ref="AJ8:AO8"/>
    <mergeCell ref="AJ11:AO11"/>
    <mergeCell ref="M2:AH2"/>
    <mergeCell ref="AJ2:BD2"/>
    <mergeCell ref="AB3:AH9"/>
    <mergeCell ref="AW3:BD3"/>
    <mergeCell ref="BC5:BD5"/>
    <mergeCell ref="BC7:BD7"/>
    <mergeCell ref="BC9:BD9"/>
    <mergeCell ref="AH13:AN14"/>
    <mergeCell ref="AP13:AV14"/>
    <mergeCell ref="AH15:AN15"/>
    <mergeCell ref="AP15:AV15"/>
    <mergeCell ref="AX15:BD15"/>
    <mergeCell ref="AB10:AH10"/>
    <mergeCell ref="AJ10:AO10"/>
    <mergeCell ref="AW10:BB10"/>
    <mergeCell ref="BC10:BD10"/>
    <mergeCell ref="AW11:BB11"/>
    <mergeCell ref="BC11:BD11"/>
    <mergeCell ref="Z13:AF14"/>
    <mergeCell ref="AX13:BD14"/>
    <mergeCell ref="R13:X14"/>
    <mergeCell ref="R15:X15"/>
    <mergeCell ref="Z15:AF15"/>
    <mergeCell ref="J15:P15"/>
    <mergeCell ref="J16:P22"/>
    <mergeCell ref="R16:X22"/>
    <mergeCell ref="Z16:AF22"/>
    <mergeCell ref="AH16:AN22"/>
    <mergeCell ref="AP16:AV22"/>
    <mergeCell ref="AX16:BD22"/>
    <mergeCell ref="Z26:AE26"/>
    <mergeCell ref="Z27:AE27"/>
    <mergeCell ref="Z36:AE36"/>
    <mergeCell ref="Z37:AE37"/>
    <mergeCell ref="Z29:AE29"/>
    <mergeCell ref="Z30:AE30"/>
    <mergeCell ref="Z31:AE31"/>
    <mergeCell ref="Z32:AE32"/>
    <mergeCell ref="Z33:AE33"/>
    <mergeCell ref="Z34:AE34"/>
    <mergeCell ref="Z35:AE35"/>
    <mergeCell ref="AX31:BC31"/>
    <mergeCell ref="AX32:BC32"/>
    <mergeCell ref="AX33:BC33"/>
    <mergeCell ref="AX34:BC34"/>
    <mergeCell ref="AX35:BC35"/>
    <mergeCell ref="AX36:BC36"/>
    <mergeCell ref="AX37:BC37"/>
    <mergeCell ref="AX38:BC38"/>
    <mergeCell ref="AX39:BC39"/>
    <mergeCell ref="BC40:BD40"/>
    <mergeCell ref="AX41:BB41"/>
    <mergeCell ref="BC41:BD41"/>
    <mergeCell ref="AX43:BD43"/>
    <mergeCell ref="AY44:BD44"/>
    <mergeCell ref="AY52:BD52"/>
    <mergeCell ref="AY53:BD53"/>
    <mergeCell ref="AY54:BD54"/>
    <mergeCell ref="AY45:BD45"/>
    <mergeCell ref="AY46:BD46"/>
    <mergeCell ref="AX47:BD47"/>
    <mergeCell ref="AY48:BD48"/>
    <mergeCell ref="AY49:BD49"/>
    <mergeCell ref="AY50:BD50"/>
    <mergeCell ref="AX51:BD51"/>
    <mergeCell ref="K44:P44"/>
    <mergeCell ref="K45:P45"/>
    <mergeCell ref="J36:O36"/>
    <mergeCell ref="J37:O37"/>
    <mergeCell ref="J38:O38"/>
    <mergeCell ref="J39:O39"/>
    <mergeCell ref="J40:N40"/>
    <mergeCell ref="O40:P40"/>
    <mergeCell ref="J43:P43"/>
    <mergeCell ref="R47:X47"/>
    <mergeCell ref="Z47:AF47"/>
    <mergeCell ref="AH47:AN47"/>
    <mergeCell ref="AP47:AV47"/>
    <mergeCell ref="AA48:AF48"/>
    <mergeCell ref="AI48:AN48"/>
    <mergeCell ref="AQ48:AV48"/>
    <mergeCell ref="S48:X48"/>
    <mergeCell ref="S49:X49"/>
    <mergeCell ref="AA49:AF49"/>
    <mergeCell ref="AI49:AN49"/>
    <mergeCell ref="S50:X50"/>
    <mergeCell ref="AA50:AF50"/>
    <mergeCell ref="AI50:AN50"/>
  </mergeCells>
  <conditionalFormatting sqref="H25:H39 P25:P39 X25:X39 AF25:AF39 AN25:AN39 AV25:AV39 BD25:BD39">
    <cfRule type="expression" dxfId="0" priority="1">
      <formula>ISBLANK(B25)</formula>
    </cfRule>
  </conditionalFormatting>
  <conditionalFormatting sqref="B25:H39">
    <cfRule type="expression" dxfId="1" priority="2">
      <formula>$H25=TRUE</formula>
    </cfRule>
  </conditionalFormatting>
  <conditionalFormatting sqref="J25:P39">
    <cfRule type="expression" dxfId="1" priority="3">
      <formula>$P25=TRUE</formula>
    </cfRule>
  </conditionalFormatting>
  <conditionalFormatting sqref="R25:X39">
    <cfRule type="expression" dxfId="1" priority="4">
      <formula>$X25=TRUE</formula>
    </cfRule>
  </conditionalFormatting>
  <conditionalFormatting sqref="Z25:AF39">
    <cfRule type="expression" dxfId="1" priority="5">
      <formula>$AF25=TRUE</formula>
    </cfRule>
  </conditionalFormatting>
  <conditionalFormatting sqref="AH25:AN39">
    <cfRule type="expression" dxfId="1" priority="6">
      <formula>$AN25=TRUE</formula>
    </cfRule>
  </conditionalFormatting>
  <conditionalFormatting sqref="AP25:AV39">
    <cfRule type="expression" dxfId="1" priority="7">
      <formula>$AV25=TRUE</formula>
    </cfRule>
  </conditionalFormatting>
  <conditionalFormatting sqref="AX25:BD39">
    <cfRule type="expression" dxfId="1" priority="8">
      <formula>$BD25=TRUE</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8" width="3.63"/>
    <col customWidth="1" min="9" max="9" width="1.38"/>
    <col customWidth="1" min="10" max="16" width="3.63"/>
    <col customWidth="1" min="17" max="17" width="1.38"/>
    <col customWidth="1" min="18" max="24" width="3.63"/>
    <col customWidth="1" min="25" max="25" width="1.38"/>
    <col customWidth="1" min="26" max="32" width="3.63"/>
    <col customWidth="1" min="33" max="33" width="1.38"/>
    <col customWidth="1" min="34" max="40" width="3.63"/>
    <col customWidth="1" min="41" max="41" width="1.38"/>
    <col customWidth="1" min="42" max="48" width="3.88"/>
    <col customWidth="1" min="49" max="49" width="1.38"/>
    <col customWidth="1" min="50" max="57" width="3.63"/>
  </cols>
  <sheetData>
    <row r="1">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row>
    <row r="2">
      <c r="A2" s="5"/>
      <c r="B2" s="6" t="s">
        <v>6</v>
      </c>
      <c r="L2" s="7"/>
      <c r="M2" s="8" t="s">
        <v>7</v>
      </c>
      <c r="N2" s="9"/>
      <c r="O2" s="9"/>
      <c r="P2" s="9"/>
      <c r="Q2" s="9"/>
      <c r="R2" s="9"/>
      <c r="S2" s="9"/>
      <c r="T2" s="9"/>
      <c r="U2" s="9"/>
      <c r="V2" s="9"/>
      <c r="W2" s="9"/>
      <c r="X2" s="9"/>
      <c r="Y2" s="9"/>
      <c r="Z2" s="9"/>
      <c r="AA2" s="9"/>
      <c r="AB2" s="9"/>
      <c r="AC2" s="9"/>
      <c r="AD2" s="9"/>
      <c r="AE2" s="9"/>
      <c r="AF2" s="9"/>
      <c r="AG2" s="9"/>
      <c r="AH2" s="10"/>
      <c r="AI2" s="11"/>
      <c r="AJ2" s="12" t="s">
        <v>8</v>
      </c>
      <c r="BE2" s="5"/>
    </row>
    <row r="3">
      <c r="A3" s="5"/>
      <c r="L3" s="7"/>
      <c r="M3" s="13"/>
      <c r="N3" s="14"/>
      <c r="O3" s="14"/>
      <c r="P3" s="14"/>
      <c r="Q3" s="14"/>
      <c r="R3" s="14"/>
      <c r="S3" s="14"/>
      <c r="T3" s="14"/>
      <c r="U3" s="14"/>
      <c r="V3" s="14"/>
      <c r="W3" s="14"/>
      <c r="X3" s="14"/>
      <c r="Y3" s="14"/>
      <c r="Z3" s="14"/>
      <c r="AA3" s="14"/>
      <c r="AB3" s="15">
        <f>C65/(C66+C65)</f>
        <v>0.2972972973</v>
      </c>
      <c r="AH3" s="16"/>
      <c r="AI3" s="11"/>
      <c r="AJ3" s="17" t="s">
        <v>9</v>
      </c>
      <c r="AK3" s="18"/>
      <c r="AL3" s="18"/>
      <c r="AM3" s="18"/>
      <c r="AN3" s="18"/>
      <c r="AO3" s="19"/>
      <c r="AP3" s="20" t="str">
        <f>TEXT(B15,"ddd")</f>
        <v>Sun</v>
      </c>
      <c r="AQ3" s="20" t="str">
        <f>TEXT(J15,"ddd")</f>
        <v>Mon</v>
      </c>
      <c r="AR3" s="20" t="str">
        <f>TEXT(R15,"ddd")</f>
        <v>Tue</v>
      </c>
      <c r="AS3" s="20" t="str">
        <f>TEXT(Z15,"ddd")</f>
        <v>Wed</v>
      </c>
      <c r="AT3" s="20" t="str">
        <f>TEXT(AH15,"ddd")</f>
        <v>Thu</v>
      </c>
      <c r="AU3" s="20" t="str">
        <f>TEXT(AP15,"ddd")</f>
        <v>Fri</v>
      </c>
      <c r="AV3" s="20" t="str">
        <f>TEXT(AX15,"ddd")</f>
        <v>Sat</v>
      </c>
      <c r="AW3" s="17" t="s">
        <v>10</v>
      </c>
      <c r="AX3" s="18"/>
      <c r="AY3" s="18"/>
      <c r="AZ3" s="18"/>
      <c r="BA3" s="18"/>
      <c r="BB3" s="18"/>
      <c r="BC3" s="18"/>
      <c r="BD3" s="19"/>
      <c r="BE3" s="5"/>
    </row>
    <row r="4">
      <c r="A4" s="5"/>
      <c r="L4" s="7"/>
      <c r="M4" s="13"/>
      <c r="N4" s="14"/>
      <c r="O4" s="14"/>
      <c r="P4" s="14"/>
      <c r="Q4" s="14"/>
      <c r="R4" s="14"/>
      <c r="S4" s="14"/>
      <c r="T4" s="14"/>
      <c r="U4" s="14"/>
      <c r="V4" s="14"/>
      <c r="W4" s="14"/>
      <c r="X4" s="14"/>
      <c r="Y4" s="14"/>
      <c r="Z4" s="14"/>
      <c r="AA4" s="14"/>
      <c r="AH4" s="16"/>
      <c r="AI4" s="11"/>
      <c r="AJ4" s="21" t="s">
        <v>11</v>
      </c>
      <c r="AK4" s="18"/>
      <c r="AL4" s="18"/>
      <c r="AM4" s="18"/>
      <c r="AN4" s="18"/>
      <c r="AO4" s="19"/>
      <c r="AP4" s="22" t="b">
        <v>1</v>
      </c>
      <c r="AQ4" s="22" t="b">
        <v>1</v>
      </c>
      <c r="AR4" s="22" t="b">
        <v>1</v>
      </c>
      <c r="AS4" s="22" t="b">
        <v>1</v>
      </c>
      <c r="AT4" s="22" t="b">
        <v>0</v>
      </c>
      <c r="AU4" s="22" t="b">
        <v>0</v>
      </c>
      <c r="AV4" s="22" t="b">
        <v>0</v>
      </c>
      <c r="AW4" s="23" t="str">
        <f>IFERROR(__xludf.DUMMYFUNCTION("SPARKLINE(COUNTIF(AP4:AV4,TRUE),{""charttype"",""bar"";""max"",7;""color1"",""#a61c00"";""empty"",""ignore""})"),"")</f>
        <v/>
      </c>
      <c r="AX4" s="18"/>
      <c r="AY4" s="18"/>
      <c r="AZ4" s="18"/>
      <c r="BA4" s="18"/>
      <c r="BB4" s="19"/>
      <c r="BC4" s="24">
        <f t="shared" ref="BC4:BC11" si="1">IF(COUNTIF(AP4:AV4,TRUE)/7=1,""&amp;$Z$58,COUNTIF(AP4:AV4,TRUE)/7)</f>
        <v>0.5714285714</v>
      </c>
      <c r="BD4" s="19"/>
      <c r="BE4" s="5"/>
    </row>
    <row r="5">
      <c r="A5" s="5"/>
      <c r="L5" s="7"/>
      <c r="M5" s="13"/>
      <c r="N5" s="14"/>
      <c r="O5" s="14"/>
      <c r="P5" s="14"/>
      <c r="Q5" s="14"/>
      <c r="R5" s="14"/>
      <c r="S5" s="14"/>
      <c r="T5" s="14"/>
      <c r="U5" s="14"/>
      <c r="V5" s="14"/>
      <c r="W5" s="14"/>
      <c r="X5" s="14"/>
      <c r="Y5" s="14"/>
      <c r="Z5" s="14"/>
      <c r="AA5" s="14"/>
      <c r="AH5" s="16"/>
      <c r="AI5" s="11"/>
      <c r="AJ5" s="21" t="s">
        <v>12</v>
      </c>
      <c r="AK5" s="18"/>
      <c r="AL5" s="18"/>
      <c r="AM5" s="18"/>
      <c r="AN5" s="18"/>
      <c r="AO5" s="19"/>
      <c r="AP5" s="22" t="b">
        <v>1</v>
      </c>
      <c r="AQ5" s="22" t="b">
        <v>1</v>
      </c>
      <c r="AR5" s="22" t="b">
        <v>1</v>
      </c>
      <c r="AS5" s="22" t="b">
        <v>1</v>
      </c>
      <c r="AT5" s="22" t="b">
        <v>1</v>
      </c>
      <c r="AU5" s="22" t="b">
        <v>1</v>
      </c>
      <c r="AV5" s="22" t="b">
        <v>1</v>
      </c>
      <c r="AW5" s="23" t="str">
        <f>IFERROR(__xludf.DUMMYFUNCTION("SPARKLINE(COUNTIF(AP5:AV5,TRUE),{""charttype"",""bar"";""max"",7;""color1"",""#a61c00"";""empty"",""ignore""})"),"")</f>
        <v/>
      </c>
      <c r="AX5" s="18"/>
      <c r="AY5" s="18"/>
      <c r="AZ5" s="18"/>
      <c r="BA5" s="18"/>
      <c r="BB5" s="19"/>
      <c r="BC5" s="24" t="str">
        <f t="shared" si="1"/>
        <v>🏆</v>
      </c>
      <c r="BD5" s="19"/>
      <c r="BE5" s="5"/>
    </row>
    <row r="6">
      <c r="A6" s="5"/>
      <c r="L6" s="7"/>
      <c r="M6" s="13"/>
      <c r="N6" s="14"/>
      <c r="O6" s="14"/>
      <c r="P6" s="14"/>
      <c r="Q6" s="14"/>
      <c r="R6" s="14"/>
      <c r="S6" s="14"/>
      <c r="T6" s="14"/>
      <c r="U6" s="14"/>
      <c r="V6" s="14"/>
      <c r="W6" s="14"/>
      <c r="X6" s="14"/>
      <c r="Y6" s="14"/>
      <c r="Z6" s="14"/>
      <c r="AA6" s="14"/>
      <c r="AH6" s="16"/>
      <c r="AI6" s="11"/>
      <c r="AJ6" s="21" t="s">
        <v>13</v>
      </c>
      <c r="AK6" s="18"/>
      <c r="AL6" s="18"/>
      <c r="AM6" s="18"/>
      <c r="AN6" s="18"/>
      <c r="AO6" s="19"/>
      <c r="AP6" s="22" t="b">
        <v>1</v>
      </c>
      <c r="AQ6" s="22" t="b">
        <v>1</v>
      </c>
      <c r="AR6" s="22" t="b">
        <v>1</v>
      </c>
      <c r="AS6" s="22" t="b">
        <v>1</v>
      </c>
      <c r="AT6" s="22" t="b">
        <v>0</v>
      </c>
      <c r="AU6" s="22" t="b">
        <v>0</v>
      </c>
      <c r="AV6" s="22" t="b">
        <v>0</v>
      </c>
      <c r="AW6" s="23" t="str">
        <f>IFERROR(__xludf.DUMMYFUNCTION("SPARKLINE(COUNTIF(AP6:AV6,TRUE),{""charttype"",""bar"";""max"",7;""color1"",""#a61c00"";""empty"",""ignore""})"),"")</f>
        <v/>
      </c>
      <c r="AX6" s="18"/>
      <c r="AY6" s="18"/>
      <c r="AZ6" s="18"/>
      <c r="BA6" s="18"/>
      <c r="BB6" s="19"/>
      <c r="BC6" s="24">
        <f t="shared" si="1"/>
        <v>0.5714285714</v>
      </c>
      <c r="BD6" s="19"/>
      <c r="BE6" s="5"/>
    </row>
    <row r="7">
      <c r="A7" s="5"/>
      <c r="L7" s="7"/>
      <c r="M7" s="13"/>
      <c r="N7" s="14"/>
      <c r="O7" s="14"/>
      <c r="P7" s="14"/>
      <c r="Q7" s="14"/>
      <c r="R7" s="14"/>
      <c r="S7" s="14"/>
      <c r="T7" s="14"/>
      <c r="U7" s="14"/>
      <c r="V7" s="14"/>
      <c r="W7" s="14"/>
      <c r="X7" s="14"/>
      <c r="Y7" s="14"/>
      <c r="Z7" s="14"/>
      <c r="AA7" s="14"/>
      <c r="AH7" s="16"/>
      <c r="AI7" s="11"/>
      <c r="AJ7" s="21" t="s">
        <v>14</v>
      </c>
      <c r="AK7" s="18"/>
      <c r="AL7" s="18"/>
      <c r="AM7" s="18"/>
      <c r="AN7" s="18"/>
      <c r="AO7" s="19"/>
      <c r="AP7" s="22" t="b">
        <v>0</v>
      </c>
      <c r="AQ7" s="22" t="b">
        <v>0</v>
      </c>
      <c r="AR7" s="22" t="b">
        <v>1</v>
      </c>
      <c r="AS7" s="22" t="b">
        <v>1</v>
      </c>
      <c r="AT7" s="22" t="b">
        <v>1</v>
      </c>
      <c r="AU7" s="22" t="b">
        <v>1</v>
      </c>
      <c r="AV7" s="22" t="b">
        <v>1</v>
      </c>
      <c r="AW7" s="23" t="str">
        <f>IFERROR(__xludf.DUMMYFUNCTION("SPARKLINE(COUNTIF(AP7:AV7,TRUE),{""charttype"",""bar"";""max"",7;""color1"",""#a61c00"";""empty"",""ignore""})"),"")</f>
        <v/>
      </c>
      <c r="AX7" s="18"/>
      <c r="AY7" s="18"/>
      <c r="AZ7" s="18"/>
      <c r="BA7" s="18"/>
      <c r="BB7" s="19"/>
      <c r="BC7" s="24">
        <f t="shared" si="1"/>
        <v>0.7142857143</v>
      </c>
      <c r="BD7" s="19"/>
      <c r="BE7" s="5"/>
    </row>
    <row r="8">
      <c r="A8" s="5"/>
      <c r="L8" s="7"/>
      <c r="M8" s="13"/>
      <c r="N8" s="14"/>
      <c r="O8" s="14"/>
      <c r="P8" s="14"/>
      <c r="Q8" s="14"/>
      <c r="R8" s="14"/>
      <c r="S8" s="14"/>
      <c r="T8" s="14"/>
      <c r="U8" s="14"/>
      <c r="V8" s="14"/>
      <c r="W8" s="14"/>
      <c r="X8" s="14"/>
      <c r="Y8" s="14"/>
      <c r="Z8" s="14"/>
      <c r="AA8" s="14"/>
      <c r="AH8" s="16"/>
      <c r="AI8" s="11"/>
      <c r="AJ8" s="21" t="s">
        <v>15</v>
      </c>
      <c r="AK8" s="18"/>
      <c r="AL8" s="18"/>
      <c r="AM8" s="18"/>
      <c r="AN8" s="18"/>
      <c r="AO8" s="19"/>
      <c r="AP8" s="22" t="b">
        <v>0</v>
      </c>
      <c r="AQ8" s="22" t="b">
        <v>1</v>
      </c>
      <c r="AR8" s="22" t="b">
        <v>1</v>
      </c>
      <c r="AS8" s="22" t="b">
        <v>1</v>
      </c>
      <c r="AT8" s="22" t="b">
        <v>1</v>
      </c>
      <c r="AU8" s="22" t="b">
        <v>1</v>
      </c>
      <c r="AV8" s="22" t="b">
        <v>1</v>
      </c>
      <c r="AW8" s="23" t="str">
        <f>IFERROR(__xludf.DUMMYFUNCTION("SPARKLINE(COUNTIF(AP8:AV8,TRUE),{""charttype"",""bar"";""max"",7;""color1"",""#a61c00"";""empty"",""ignore""})"),"")</f>
        <v/>
      </c>
      <c r="AX8" s="18"/>
      <c r="AY8" s="18"/>
      <c r="AZ8" s="18"/>
      <c r="BA8" s="18"/>
      <c r="BB8" s="19"/>
      <c r="BC8" s="24">
        <f t="shared" si="1"/>
        <v>0.8571428571</v>
      </c>
      <c r="BD8" s="19"/>
      <c r="BE8" s="5"/>
    </row>
    <row r="9">
      <c r="A9" s="5"/>
      <c r="B9" s="25"/>
      <c r="C9" s="25"/>
      <c r="D9" s="25"/>
      <c r="E9" s="25"/>
      <c r="F9" s="25"/>
      <c r="G9" s="25"/>
      <c r="H9" s="25"/>
      <c r="I9" s="25"/>
      <c r="J9" s="25"/>
      <c r="K9" s="25"/>
      <c r="L9" s="7"/>
      <c r="M9" s="13"/>
      <c r="N9" s="14"/>
      <c r="O9" s="14"/>
      <c r="P9" s="14"/>
      <c r="Q9" s="14"/>
      <c r="R9" s="14"/>
      <c r="S9" s="14"/>
      <c r="T9" s="14"/>
      <c r="U9" s="14"/>
      <c r="V9" s="14"/>
      <c r="W9" s="14"/>
      <c r="X9" s="14"/>
      <c r="Y9" s="14"/>
      <c r="Z9" s="14"/>
      <c r="AA9" s="14"/>
      <c r="AH9" s="16"/>
      <c r="AI9" s="11"/>
      <c r="AJ9" s="21" t="s">
        <v>16</v>
      </c>
      <c r="AK9" s="18"/>
      <c r="AL9" s="18"/>
      <c r="AM9" s="18"/>
      <c r="AN9" s="18"/>
      <c r="AO9" s="19"/>
      <c r="AP9" s="22" t="b">
        <v>1</v>
      </c>
      <c r="AQ9" s="26" t="b">
        <v>0</v>
      </c>
      <c r="AR9" s="22" t="b">
        <v>1</v>
      </c>
      <c r="AS9" s="26" t="b">
        <v>0</v>
      </c>
      <c r="AT9" s="22" t="b">
        <v>1</v>
      </c>
      <c r="AU9" s="22" t="b">
        <v>1</v>
      </c>
      <c r="AV9" s="22" t="b">
        <v>1</v>
      </c>
      <c r="AW9" s="23" t="str">
        <f>IFERROR(__xludf.DUMMYFUNCTION("SPARKLINE(COUNTIF(AP9:AV9,TRUE),{""charttype"",""bar"";""max"",7;""color1"",""#a61c00"";""empty"",""ignore""})"),"")</f>
        <v/>
      </c>
      <c r="AX9" s="18"/>
      <c r="AY9" s="18"/>
      <c r="AZ9" s="18"/>
      <c r="BA9" s="18"/>
      <c r="BB9" s="19"/>
      <c r="BC9" s="24">
        <f t="shared" si="1"/>
        <v>0.7142857143</v>
      </c>
      <c r="BD9" s="19"/>
      <c r="BE9" s="5"/>
    </row>
    <row r="10">
      <c r="A10" s="5"/>
      <c r="B10" s="27" t="s">
        <v>17</v>
      </c>
      <c r="G10" s="28">
        <v>46026.0</v>
      </c>
      <c r="L10" s="29"/>
      <c r="M10" s="13"/>
      <c r="N10" s="14"/>
      <c r="O10" s="14"/>
      <c r="P10" s="14"/>
      <c r="Q10" s="14"/>
      <c r="R10" s="14"/>
      <c r="S10" s="14"/>
      <c r="T10" s="14"/>
      <c r="U10" s="14"/>
      <c r="V10" s="14"/>
      <c r="W10" s="14"/>
      <c r="X10" s="14"/>
      <c r="Y10" s="14"/>
      <c r="Z10" s="14"/>
      <c r="AA10" s="14"/>
      <c r="AB10" s="30" t="str">
        <f>C65&amp;" / "&amp;(C66+C65)&amp;" შესრულებული"</f>
        <v>11 / 37 შესრულებული</v>
      </c>
      <c r="AH10" s="16"/>
      <c r="AI10" s="11"/>
      <c r="AJ10" s="21" t="s">
        <v>18</v>
      </c>
      <c r="AK10" s="18"/>
      <c r="AL10" s="18"/>
      <c r="AM10" s="18"/>
      <c r="AN10" s="18"/>
      <c r="AO10" s="19"/>
      <c r="AP10" s="22" t="b">
        <v>1</v>
      </c>
      <c r="AQ10" s="22" t="b">
        <v>1</v>
      </c>
      <c r="AR10" s="22" t="b">
        <v>1</v>
      </c>
      <c r="AS10" s="22" t="b">
        <v>1</v>
      </c>
      <c r="AT10" s="22" t="b">
        <v>1</v>
      </c>
      <c r="AU10" s="26" t="b">
        <v>0</v>
      </c>
      <c r="AV10" s="22" t="b">
        <v>1</v>
      </c>
      <c r="AW10" s="23" t="str">
        <f>IFERROR(__xludf.DUMMYFUNCTION("SPARKLINE(COUNTIF(AP10:AV10,TRUE),{""charttype"",""bar"";""max"",7;""color1"",""#a61c00"";""empty"",""ignore""})"),"")</f>
        <v/>
      </c>
      <c r="AX10" s="18"/>
      <c r="AY10" s="18"/>
      <c r="AZ10" s="18"/>
      <c r="BA10" s="18"/>
      <c r="BB10" s="19"/>
      <c r="BC10" s="24">
        <f t="shared" si="1"/>
        <v>0.8571428571</v>
      </c>
      <c r="BD10" s="19"/>
      <c r="BE10" s="5"/>
    </row>
    <row r="11">
      <c r="A11" s="5"/>
      <c r="L11" s="29"/>
      <c r="M11" s="31"/>
      <c r="N11" s="32"/>
      <c r="O11" s="32"/>
      <c r="P11" s="32"/>
      <c r="Q11" s="32"/>
      <c r="R11" s="32"/>
      <c r="S11" s="32"/>
      <c r="T11" s="32"/>
      <c r="U11" s="32"/>
      <c r="V11" s="32"/>
      <c r="W11" s="32"/>
      <c r="X11" s="32"/>
      <c r="Y11" s="32"/>
      <c r="Z11" s="32"/>
      <c r="AA11" s="32"/>
      <c r="AB11" s="32"/>
      <c r="AC11" s="32"/>
      <c r="AD11" s="32"/>
      <c r="AE11" s="32"/>
      <c r="AF11" s="32"/>
      <c r="AG11" s="32"/>
      <c r="AH11" s="33"/>
      <c r="AI11" s="11"/>
      <c r="AJ11" s="21" t="s">
        <v>19</v>
      </c>
      <c r="AK11" s="18"/>
      <c r="AL11" s="18"/>
      <c r="AM11" s="18"/>
      <c r="AN11" s="18"/>
      <c r="AO11" s="19"/>
      <c r="AP11" s="22" t="b">
        <v>1</v>
      </c>
      <c r="AQ11" s="26" t="b">
        <v>0</v>
      </c>
      <c r="AR11" s="22" t="b">
        <v>1</v>
      </c>
      <c r="AS11" s="22" t="b">
        <v>1</v>
      </c>
      <c r="AT11" s="22" t="b">
        <v>1</v>
      </c>
      <c r="AU11" s="26" t="b">
        <v>0</v>
      </c>
      <c r="AV11" s="22" t="b">
        <v>1</v>
      </c>
      <c r="AW11" s="23" t="str">
        <f>IFERROR(__xludf.DUMMYFUNCTION("SPARKLINE(COUNTIF(AP11:AV11,TRUE),{""charttype"",""bar"";""max"",7;""color1"",""#a61c00"";""empty"",""ignore""})"),"")</f>
        <v/>
      </c>
      <c r="AX11" s="18"/>
      <c r="AY11" s="18"/>
      <c r="AZ11" s="18"/>
      <c r="BA11" s="18"/>
      <c r="BB11" s="19"/>
      <c r="BC11" s="24">
        <f t="shared" si="1"/>
        <v>0.7142857143</v>
      </c>
      <c r="BD11" s="19"/>
      <c r="BE11" s="5"/>
    </row>
    <row r="12">
      <c r="A12" s="5"/>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5"/>
    </row>
    <row r="13">
      <c r="A13" s="5"/>
      <c r="B13" s="34" t="str">
        <f>TEXT(B15,"dddd")</f>
        <v>Sunday</v>
      </c>
      <c r="C13" s="35"/>
      <c r="D13" s="35"/>
      <c r="E13" s="35"/>
      <c r="F13" s="35"/>
      <c r="G13" s="35"/>
      <c r="H13" s="36"/>
      <c r="I13" s="37"/>
      <c r="J13" s="34" t="str">
        <f>TEXT(J15,"dddd")</f>
        <v>Monday</v>
      </c>
      <c r="K13" s="35"/>
      <c r="L13" s="35"/>
      <c r="M13" s="35"/>
      <c r="N13" s="35"/>
      <c r="O13" s="35"/>
      <c r="P13" s="36"/>
      <c r="Q13" s="37"/>
      <c r="R13" s="34" t="str">
        <f>TEXT(R15,"dddd")</f>
        <v>Tuesday</v>
      </c>
      <c r="S13" s="35"/>
      <c r="T13" s="35"/>
      <c r="U13" s="35"/>
      <c r="V13" s="35"/>
      <c r="W13" s="35"/>
      <c r="X13" s="36"/>
      <c r="Y13" s="37"/>
      <c r="Z13" s="34" t="str">
        <f>TEXT(Z15,"dddd")</f>
        <v>Wednesday</v>
      </c>
      <c r="AA13" s="35"/>
      <c r="AB13" s="35"/>
      <c r="AC13" s="35"/>
      <c r="AD13" s="35"/>
      <c r="AE13" s="35"/>
      <c r="AF13" s="36"/>
      <c r="AG13" s="37"/>
      <c r="AH13" s="34" t="str">
        <f>TEXT(AH15,"dddd")</f>
        <v>Thursday</v>
      </c>
      <c r="AI13" s="35"/>
      <c r="AJ13" s="35"/>
      <c r="AK13" s="35"/>
      <c r="AL13" s="35"/>
      <c r="AM13" s="35"/>
      <c r="AN13" s="36"/>
      <c r="AO13" s="37"/>
      <c r="AP13" s="34" t="str">
        <f>TEXT(AP15,"dddd")</f>
        <v>Friday</v>
      </c>
      <c r="AQ13" s="35"/>
      <c r="AR13" s="35"/>
      <c r="AS13" s="35"/>
      <c r="AT13" s="35"/>
      <c r="AU13" s="35"/>
      <c r="AV13" s="36"/>
      <c r="AW13" s="37"/>
      <c r="AX13" s="34" t="str">
        <f>TEXT(AX15,"dddd")</f>
        <v>Saturday</v>
      </c>
      <c r="AY13" s="35"/>
      <c r="AZ13" s="35"/>
      <c r="BA13" s="35"/>
      <c r="BB13" s="35"/>
      <c r="BC13" s="35"/>
      <c r="BD13" s="36"/>
      <c r="BE13" s="38"/>
    </row>
    <row r="14">
      <c r="A14" s="5"/>
      <c r="B14" s="39"/>
      <c r="H14" s="40"/>
      <c r="I14" s="37"/>
      <c r="J14" s="39"/>
      <c r="P14" s="40"/>
      <c r="Q14" s="37"/>
      <c r="R14" s="39"/>
      <c r="X14" s="40"/>
      <c r="Y14" s="37"/>
      <c r="Z14" s="39"/>
      <c r="AF14" s="40"/>
      <c r="AG14" s="37"/>
      <c r="AH14" s="39"/>
      <c r="AN14" s="40"/>
      <c r="AO14" s="37"/>
      <c r="AP14" s="39"/>
      <c r="AV14" s="40"/>
      <c r="AW14" s="37"/>
      <c r="AX14" s="39"/>
      <c r="BD14" s="40"/>
      <c r="BE14" s="38"/>
    </row>
    <row r="15" ht="30.75" customHeight="1">
      <c r="A15" s="5"/>
      <c r="B15" s="41">
        <f>G10</f>
        <v>46026</v>
      </c>
      <c r="H15" s="40"/>
      <c r="I15" s="37"/>
      <c r="J15" s="41">
        <f>
B15+1</f>
        <v>46027</v>
      </c>
      <c r="P15" s="40"/>
      <c r="Q15" s="37"/>
      <c r="R15" s="41">
        <f>B15+2</f>
        <v>46028</v>
      </c>
      <c r="X15" s="40"/>
      <c r="Y15" s="37"/>
      <c r="Z15" s="41">
        <f>B15+3</f>
        <v>46029</v>
      </c>
      <c r="AF15" s="40"/>
      <c r="AG15" s="37"/>
      <c r="AH15" s="41">
        <f>B15+4</f>
        <v>46030</v>
      </c>
      <c r="AN15" s="40"/>
      <c r="AO15" s="37"/>
      <c r="AP15" s="41">
        <f>B15+5</f>
        <v>46031</v>
      </c>
      <c r="AV15" s="40"/>
      <c r="AW15" s="37"/>
      <c r="AX15" s="41">
        <f>B15+6</f>
        <v>46032</v>
      </c>
      <c r="BD15" s="40"/>
      <c r="BE15" s="38"/>
    </row>
    <row r="16">
      <c r="A16" s="5"/>
      <c r="B16" s="42">
        <f>IFERROR(C60/COUNTA(B25:G39),"")</f>
        <v>0.8</v>
      </c>
      <c r="H16" s="40"/>
      <c r="I16" s="37"/>
      <c r="J16" s="42">
        <f>IFERROR(F60/COUNTA(J25:O39),"")</f>
        <v>1</v>
      </c>
      <c r="P16" s="40"/>
      <c r="Q16" s="37"/>
      <c r="R16" s="42">
        <f>IFERROR(J60/COUNTA(R25:W39),"")</f>
        <v>0</v>
      </c>
      <c r="X16" s="40"/>
      <c r="Y16" s="37"/>
      <c r="Z16" s="42">
        <f>IFERROR(M60/COUNTA(Z25:AE39),"")</f>
        <v>0</v>
      </c>
      <c r="AF16" s="40"/>
      <c r="AG16" s="37"/>
      <c r="AH16" s="42">
        <f>IFERROR(P60/COUNTA(AH25:AM39),"")</f>
        <v>0</v>
      </c>
      <c r="AN16" s="40"/>
      <c r="AO16" s="37"/>
      <c r="AP16" s="42">
        <f>IFERROR(T60/COUNTA(AP25:AU39),"")</f>
        <v>0</v>
      </c>
      <c r="AV16" s="40"/>
      <c r="AW16" s="37"/>
      <c r="AX16" s="42">
        <f>IFERROR(W60/COUNTA(AX25:BC39),"")</f>
        <v>0</v>
      </c>
      <c r="BD16" s="40"/>
      <c r="BE16" s="38"/>
    </row>
    <row r="17">
      <c r="A17" s="5"/>
      <c r="B17" s="39"/>
      <c r="H17" s="40"/>
      <c r="I17" s="37"/>
      <c r="J17" s="39"/>
      <c r="P17" s="40"/>
      <c r="Q17" s="37"/>
      <c r="R17" s="39"/>
      <c r="X17" s="40"/>
      <c r="Y17" s="37"/>
      <c r="Z17" s="39"/>
      <c r="AF17" s="40"/>
      <c r="AG17" s="37"/>
      <c r="AH17" s="39"/>
      <c r="AN17" s="40"/>
      <c r="AO17" s="37"/>
      <c r="AP17" s="39"/>
      <c r="AV17" s="40"/>
      <c r="AW17" s="37"/>
      <c r="AX17" s="39"/>
      <c r="BD17" s="40"/>
      <c r="BE17" s="38"/>
    </row>
    <row r="18">
      <c r="A18" s="5"/>
      <c r="B18" s="39"/>
      <c r="H18" s="40"/>
      <c r="I18" s="37"/>
      <c r="J18" s="39"/>
      <c r="P18" s="40"/>
      <c r="Q18" s="37"/>
      <c r="R18" s="39"/>
      <c r="X18" s="40"/>
      <c r="Y18" s="37"/>
      <c r="Z18" s="39"/>
      <c r="AF18" s="40"/>
      <c r="AG18" s="37"/>
      <c r="AH18" s="39"/>
      <c r="AN18" s="40"/>
      <c r="AO18" s="37"/>
      <c r="AP18" s="39"/>
      <c r="AV18" s="40"/>
      <c r="AW18" s="37"/>
      <c r="AX18" s="39"/>
      <c r="BD18" s="40"/>
      <c r="BE18" s="38"/>
    </row>
    <row r="19">
      <c r="A19" s="5"/>
      <c r="B19" s="39"/>
      <c r="H19" s="40"/>
      <c r="I19" s="37"/>
      <c r="J19" s="39"/>
      <c r="P19" s="40"/>
      <c r="Q19" s="37"/>
      <c r="R19" s="39"/>
      <c r="X19" s="40"/>
      <c r="Y19" s="37"/>
      <c r="Z19" s="39"/>
      <c r="AF19" s="40"/>
      <c r="AG19" s="37"/>
      <c r="AH19" s="39"/>
      <c r="AN19" s="40"/>
      <c r="AO19" s="37"/>
      <c r="AP19" s="39"/>
      <c r="AV19" s="40"/>
      <c r="AW19" s="37"/>
      <c r="AX19" s="39"/>
      <c r="BD19" s="40"/>
      <c r="BE19" s="38"/>
    </row>
    <row r="20">
      <c r="A20" s="5"/>
      <c r="B20" s="39"/>
      <c r="H20" s="40"/>
      <c r="I20" s="37"/>
      <c r="J20" s="39"/>
      <c r="P20" s="40"/>
      <c r="Q20" s="37"/>
      <c r="R20" s="39"/>
      <c r="X20" s="40"/>
      <c r="Y20" s="37"/>
      <c r="Z20" s="39"/>
      <c r="AF20" s="40"/>
      <c r="AG20" s="37"/>
      <c r="AH20" s="39"/>
      <c r="AN20" s="40"/>
      <c r="AO20" s="37"/>
      <c r="AP20" s="39"/>
      <c r="AV20" s="40"/>
      <c r="AW20" s="37"/>
      <c r="AX20" s="39"/>
      <c r="BD20" s="40"/>
      <c r="BE20" s="38"/>
    </row>
    <row r="21">
      <c r="A21" s="5"/>
      <c r="B21" s="39"/>
      <c r="H21" s="40"/>
      <c r="I21" s="37"/>
      <c r="J21" s="39"/>
      <c r="P21" s="40"/>
      <c r="Q21" s="37"/>
      <c r="R21" s="39"/>
      <c r="X21" s="40"/>
      <c r="Y21" s="37"/>
      <c r="Z21" s="39"/>
      <c r="AF21" s="40"/>
      <c r="AG21" s="37"/>
      <c r="AH21" s="39"/>
      <c r="AN21" s="40"/>
      <c r="AO21" s="37"/>
      <c r="AP21" s="39"/>
      <c r="AV21" s="40"/>
      <c r="AW21" s="37"/>
      <c r="AX21" s="39"/>
      <c r="BD21" s="40"/>
      <c r="BE21" s="38"/>
    </row>
    <row r="22">
      <c r="A22" s="5"/>
      <c r="B22" s="43"/>
      <c r="C22" s="44"/>
      <c r="D22" s="44"/>
      <c r="E22" s="44"/>
      <c r="F22" s="44"/>
      <c r="G22" s="44"/>
      <c r="H22" s="45"/>
      <c r="I22" s="37"/>
      <c r="J22" s="43"/>
      <c r="K22" s="44"/>
      <c r="L22" s="44"/>
      <c r="M22" s="44"/>
      <c r="N22" s="44"/>
      <c r="O22" s="44"/>
      <c r="P22" s="45"/>
      <c r="Q22" s="37"/>
      <c r="R22" s="43"/>
      <c r="S22" s="44"/>
      <c r="T22" s="44"/>
      <c r="U22" s="44"/>
      <c r="V22" s="44"/>
      <c r="W22" s="44"/>
      <c r="X22" s="45"/>
      <c r="Y22" s="37"/>
      <c r="Z22" s="43"/>
      <c r="AA22" s="44"/>
      <c r="AB22" s="44"/>
      <c r="AC22" s="44"/>
      <c r="AD22" s="44"/>
      <c r="AE22" s="44"/>
      <c r="AF22" s="45"/>
      <c r="AG22" s="37"/>
      <c r="AH22" s="43"/>
      <c r="AI22" s="44"/>
      <c r="AJ22" s="44"/>
      <c r="AK22" s="44"/>
      <c r="AL22" s="44"/>
      <c r="AM22" s="44"/>
      <c r="AN22" s="45"/>
      <c r="AO22" s="37"/>
      <c r="AP22" s="43"/>
      <c r="AQ22" s="44"/>
      <c r="AR22" s="44"/>
      <c r="AS22" s="44"/>
      <c r="AT22" s="44"/>
      <c r="AU22" s="44"/>
      <c r="AV22" s="45"/>
      <c r="AW22" s="37"/>
      <c r="AX22" s="43"/>
      <c r="AY22" s="44"/>
      <c r="AZ22" s="44"/>
      <c r="BA22" s="44"/>
      <c r="BB22" s="44"/>
      <c r="BC22" s="44"/>
      <c r="BD22" s="45"/>
      <c r="BE22" s="38"/>
    </row>
    <row r="23" ht="7.5" customHeight="1">
      <c r="A23" s="5"/>
      <c r="B23" s="37"/>
      <c r="C23" s="37"/>
      <c r="D23" s="37"/>
      <c r="E23" s="37"/>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8"/>
    </row>
    <row r="24">
      <c r="A24" s="5"/>
      <c r="B24" s="46" t="s">
        <v>20</v>
      </c>
      <c r="C24" s="35"/>
      <c r="D24" s="35"/>
      <c r="E24" s="35"/>
      <c r="F24" s="35"/>
      <c r="G24" s="35"/>
      <c r="H24" s="36"/>
      <c r="I24" s="37"/>
      <c r="J24" s="46" t="s">
        <v>20</v>
      </c>
      <c r="K24" s="35"/>
      <c r="L24" s="35"/>
      <c r="M24" s="35"/>
      <c r="N24" s="35"/>
      <c r="O24" s="35"/>
      <c r="P24" s="36"/>
      <c r="Q24" s="37"/>
      <c r="R24" s="46" t="s">
        <v>20</v>
      </c>
      <c r="S24" s="35"/>
      <c r="T24" s="35"/>
      <c r="U24" s="35"/>
      <c r="V24" s="35"/>
      <c r="W24" s="35"/>
      <c r="X24" s="36"/>
      <c r="Y24" s="37"/>
      <c r="Z24" s="46" t="s">
        <v>20</v>
      </c>
      <c r="AA24" s="35"/>
      <c r="AB24" s="35"/>
      <c r="AC24" s="35"/>
      <c r="AD24" s="35"/>
      <c r="AE24" s="35"/>
      <c r="AF24" s="36"/>
      <c r="AG24" s="37"/>
      <c r="AH24" s="46" t="s">
        <v>20</v>
      </c>
      <c r="AI24" s="35"/>
      <c r="AJ24" s="35"/>
      <c r="AK24" s="35"/>
      <c r="AL24" s="35"/>
      <c r="AM24" s="35"/>
      <c r="AN24" s="36"/>
      <c r="AO24" s="37"/>
      <c r="AP24" s="46" t="s">
        <v>20</v>
      </c>
      <c r="AQ24" s="35"/>
      <c r="AR24" s="35"/>
      <c r="AS24" s="35"/>
      <c r="AT24" s="35"/>
      <c r="AU24" s="35"/>
      <c r="AV24" s="36"/>
      <c r="AW24" s="37"/>
      <c r="AX24" s="46" t="s">
        <v>20</v>
      </c>
      <c r="AY24" s="35"/>
      <c r="AZ24" s="35"/>
      <c r="BA24" s="35"/>
      <c r="BB24" s="35"/>
      <c r="BC24" s="35"/>
      <c r="BD24" s="36"/>
      <c r="BE24" s="38"/>
    </row>
    <row r="25">
      <c r="A25" s="5"/>
      <c r="B25" s="47" t="s">
        <v>21</v>
      </c>
      <c r="C25" s="25"/>
      <c r="D25" s="25"/>
      <c r="E25" s="25"/>
      <c r="F25" s="25"/>
      <c r="G25" s="25"/>
      <c r="H25" s="48" t="b">
        <v>0</v>
      </c>
      <c r="I25" s="11"/>
      <c r="J25" s="47" t="s">
        <v>22</v>
      </c>
      <c r="K25" s="25"/>
      <c r="L25" s="25"/>
      <c r="M25" s="25"/>
      <c r="N25" s="25"/>
      <c r="O25" s="25"/>
      <c r="P25" s="48" t="b">
        <v>1</v>
      </c>
      <c r="Q25" s="11"/>
      <c r="R25" s="47" t="s">
        <v>23</v>
      </c>
      <c r="S25" s="25"/>
      <c r="T25" s="25"/>
      <c r="U25" s="25"/>
      <c r="V25" s="25"/>
      <c r="W25" s="25"/>
      <c r="X25" s="48" t="b">
        <v>0</v>
      </c>
      <c r="Y25" s="11"/>
      <c r="Z25" s="47" t="s">
        <v>24</v>
      </c>
      <c r="AA25" s="25"/>
      <c r="AB25" s="25"/>
      <c r="AC25" s="25"/>
      <c r="AD25" s="25"/>
      <c r="AE25" s="25"/>
      <c r="AF25" s="48" t="b">
        <v>0</v>
      </c>
      <c r="AG25" s="11"/>
      <c r="AH25" s="47" t="s">
        <v>25</v>
      </c>
      <c r="AI25" s="25"/>
      <c r="AJ25" s="25"/>
      <c r="AK25" s="25"/>
      <c r="AL25" s="25"/>
      <c r="AM25" s="25"/>
      <c r="AN25" s="48" t="b">
        <v>0</v>
      </c>
      <c r="AO25" s="11"/>
      <c r="AP25" s="47" t="s">
        <v>26</v>
      </c>
      <c r="AQ25" s="25"/>
      <c r="AR25" s="25"/>
      <c r="AS25" s="25"/>
      <c r="AT25" s="25"/>
      <c r="AU25" s="25"/>
      <c r="AV25" s="48" t="b">
        <v>0</v>
      </c>
      <c r="AW25" s="11"/>
      <c r="AX25" s="47" t="s">
        <v>27</v>
      </c>
      <c r="AY25" s="25"/>
      <c r="AZ25" s="25"/>
      <c r="BA25" s="25"/>
      <c r="BB25" s="25"/>
      <c r="BC25" s="25"/>
      <c r="BD25" s="48" t="b">
        <v>0</v>
      </c>
      <c r="BE25" s="38"/>
    </row>
    <row r="26">
      <c r="A26" s="5"/>
      <c r="B26" s="47" t="s">
        <v>28</v>
      </c>
      <c r="C26" s="25"/>
      <c r="D26" s="25"/>
      <c r="E26" s="25"/>
      <c r="F26" s="25"/>
      <c r="G26" s="25"/>
      <c r="H26" s="48" t="b">
        <v>1</v>
      </c>
      <c r="I26" s="11"/>
      <c r="J26" s="47" t="s">
        <v>29</v>
      </c>
      <c r="K26" s="25"/>
      <c r="L26" s="25"/>
      <c r="M26" s="25"/>
      <c r="N26" s="25"/>
      <c r="O26" s="25"/>
      <c r="P26" s="48" t="b">
        <v>1</v>
      </c>
      <c r="Q26" s="11"/>
      <c r="R26" s="47" t="s">
        <v>30</v>
      </c>
      <c r="S26" s="25"/>
      <c r="T26" s="25"/>
      <c r="U26" s="25"/>
      <c r="V26" s="25"/>
      <c r="W26" s="25"/>
      <c r="X26" s="48" t="b">
        <v>0</v>
      </c>
      <c r="Y26" s="11"/>
      <c r="Z26" s="47" t="s">
        <v>31</v>
      </c>
      <c r="AA26" s="25"/>
      <c r="AB26" s="25"/>
      <c r="AC26" s="25"/>
      <c r="AD26" s="25"/>
      <c r="AE26" s="25"/>
      <c r="AF26" s="48" t="b">
        <v>0</v>
      </c>
      <c r="AG26" s="11"/>
      <c r="AH26" s="47" t="s">
        <v>32</v>
      </c>
      <c r="AI26" s="25"/>
      <c r="AJ26" s="25"/>
      <c r="AK26" s="25"/>
      <c r="AL26" s="25"/>
      <c r="AM26" s="25"/>
      <c r="AN26" s="48" t="b">
        <v>0</v>
      </c>
      <c r="AO26" s="11"/>
      <c r="AP26" s="47" t="s">
        <v>33</v>
      </c>
      <c r="AQ26" s="25"/>
      <c r="AR26" s="25"/>
      <c r="AS26" s="25"/>
      <c r="AT26" s="25"/>
      <c r="AU26" s="25"/>
      <c r="AV26" s="48" t="b">
        <v>0</v>
      </c>
      <c r="AW26" s="11"/>
      <c r="AX26" s="47" t="s">
        <v>34</v>
      </c>
      <c r="AY26" s="25"/>
      <c r="AZ26" s="25"/>
      <c r="BA26" s="25"/>
      <c r="BB26" s="25"/>
      <c r="BC26" s="25"/>
      <c r="BD26" s="48" t="b">
        <v>0</v>
      </c>
      <c r="BE26" s="38"/>
    </row>
    <row r="27">
      <c r="A27" s="5"/>
      <c r="B27" s="47" t="s">
        <v>35</v>
      </c>
      <c r="C27" s="25"/>
      <c r="D27" s="25"/>
      <c r="E27" s="25"/>
      <c r="F27" s="25"/>
      <c r="G27" s="25"/>
      <c r="H27" s="48" t="b">
        <v>1</v>
      </c>
      <c r="I27" s="11"/>
      <c r="J27" s="47" t="s">
        <v>36</v>
      </c>
      <c r="K27" s="25"/>
      <c r="L27" s="25"/>
      <c r="M27" s="25"/>
      <c r="N27" s="25"/>
      <c r="O27" s="25"/>
      <c r="P27" s="48" t="b">
        <v>1</v>
      </c>
      <c r="Q27" s="11"/>
      <c r="R27" s="47" t="s">
        <v>37</v>
      </c>
      <c r="S27" s="25"/>
      <c r="T27" s="25"/>
      <c r="U27" s="25"/>
      <c r="V27" s="25"/>
      <c r="W27" s="25"/>
      <c r="X27" s="48" t="b">
        <v>0</v>
      </c>
      <c r="Y27" s="11"/>
      <c r="Z27" s="47" t="s">
        <v>38</v>
      </c>
      <c r="AA27" s="25"/>
      <c r="AB27" s="25"/>
      <c r="AC27" s="25"/>
      <c r="AD27" s="25"/>
      <c r="AE27" s="25"/>
      <c r="AF27" s="48" t="b">
        <v>0</v>
      </c>
      <c r="AG27" s="11"/>
      <c r="AH27" s="47" t="s">
        <v>39</v>
      </c>
      <c r="AI27" s="25"/>
      <c r="AJ27" s="25"/>
      <c r="AK27" s="25"/>
      <c r="AL27" s="25"/>
      <c r="AM27" s="25"/>
      <c r="AN27" s="48" t="b">
        <v>0</v>
      </c>
      <c r="AO27" s="11"/>
      <c r="AP27" s="47" t="s">
        <v>40</v>
      </c>
      <c r="AQ27" s="25"/>
      <c r="AR27" s="25"/>
      <c r="AS27" s="25"/>
      <c r="AT27" s="25"/>
      <c r="AU27" s="25"/>
      <c r="AV27" s="48" t="b">
        <v>0</v>
      </c>
      <c r="AW27" s="11"/>
      <c r="AX27" s="47" t="s">
        <v>41</v>
      </c>
      <c r="AY27" s="25"/>
      <c r="AZ27" s="25"/>
      <c r="BA27" s="25"/>
      <c r="BB27" s="25"/>
      <c r="BC27" s="25"/>
      <c r="BD27" s="48" t="b">
        <v>0</v>
      </c>
      <c r="BE27" s="38"/>
    </row>
    <row r="28">
      <c r="A28" s="5"/>
      <c r="B28" s="47" t="s">
        <v>42</v>
      </c>
      <c r="C28" s="25"/>
      <c r="D28" s="25"/>
      <c r="E28" s="25"/>
      <c r="F28" s="25"/>
      <c r="G28" s="25"/>
      <c r="H28" s="48" t="b">
        <v>1</v>
      </c>
      <c r="I28" s="11"/>
      <c r="J28" s="47" t="s">
        <v>43</v>
      </c>
      <c r="K28" s="25"/>
      <c r="L28" s="25"/>
      <c r="M28" s="25"/>
      <c r="N28" s="25"/>
      <c r="O28" s="25"/>
      <c r="P28" s="48" t="b">
        <v>1</v>
      </c>
      <c r="Q28" s="11"/>
      <c r="R28" s="47" t="s">
        <v>44</v>
      </c>
      <c r="S28" s="25"/>
      <c r="T28" s="25"/>
      <c r="U28" s="25"/>
      <c r="V28" s="25"/>
      <c r="W28" s="25"/>
      <c r="X28" s="48" t="b">
        <v>0</v>
      </c>
      <c r="Y28" s="11"/>
      <c r="Z28" s="47" t="s">
        <v>45</v>
      </c>
      <c r="AA28" s="25"/>
      <c r="AB28" s="25"/>
      <c r="AC28" s="25"/>
      <c r="AD28" s="25"/>
      <c r="AE28" s="25"/>
      <c r="AF28" s="48" t="b">
        <v>0</v>
      </c>
      <c r="AG28" s="11"/>
      <c r="AH28" s="47" t="s">
        <v>46</v>
      </c>
      <c r="AI28" s="25"/>
      <c r="AJ28" s="25"/>
      <c r="AK28" s="25"/>
      <c r="AL28" s="25"/>
      <c r="AM28" s="25"/>
      <c r="AN28" s="48" t="b">
        <v>0</v>
      </c>
      <c r="AO28" s="11"/>
      <c r="AP28" s="47" t="s">
        <v>47</v>
      </c>
      <c r="AQ28" s="25"/>
      <c r="AR28" s="25"/>
      <c r="AS28" s="25"/>
      <c r="AT28" s="25"/>
      <c r="AU28" s="25"/>
      <c r="AV28" s="48" t="b">
        <v>0</v>
      </c>
      <c r="AW28" s="11"/>
      <c r="AX28" s="47" t="s">
        <v>48</v>
      </c>
      <c r="AY28" s="25"/>
      <c r="AZ28" s="25"/>
      <c r="BA28" s="25"/>
      <c r="BB28" s="25"/>
      <c r="BC28" s="25"/>
      <c r="BD28" s="48" t="b">
        <v>0</v>
      </c>
      <c r="BE28" s="38"/>
    </row>
    <row r="29">
      <c r="A29" s="5"/>
      <c r="B29" s="47" t="s">
        <v>49</v>
      </c>
      <c r="C29" s="25"/>
      <c r="D29" s="25"/>
      <c r="E29" s="25"/>
      <c r="F29" s="25"/>
      <c r="G29" s="25"/>
      <c r="H29" s="48" t="b">
        <v>1</v>
      </c>
      <c r="I29" s="11"/>
      <c r="J29" s="47" t="s">
        <v>50</v>
      </c>
      <c r="K29" s="25"/>
      <c r="L29" s="25"/>
      <c r="M29" s="25"/>
      <c r="N29" s="25"/>
      <c r="O29" s="25"/>
      <c r="P29" s="48" t="b">
        <v>1</v>
      </c>
      <c r="Q29" s="11"/>
      <c r="R29" s="47" t="s">
        <v>51</v>
      </c>
      <c r="S29" s="25"/>
      <c r="T29" s="25"/>
      <c r="U29" s="25"/>
      <c r="V29" s="25"/>
      <c r="W29" s="25"/>
      <c r="X29" s="48" t="b">
        <v>0</v>
      </c>
      <c r="Y29" s="11"/>
      <c r="Z29" s="47"/>
      <c r="AA29" s="25"/>
      <c r="AB29" s="25"/>
      <c r="AC29" s="25"/>
      <c r="AD29" s="25"/>
      <c r="AE29" s="25"/>
      <c r="AF29" s="48" t="b">
        <v>0</v>
      </c>
      <c r="AG29" s="11"/>
      <c r="AH29" s="47" t="s">
        <v>52</v>
      </c>
      <c r="AI29" s="25"/>
      <c r="AJ29" s="25"/>
      <c r="AK29" s="25"/>
      <c r="AL29" s="25"/>
      <c r="AM29" s="25"/>
      <c r="AN29" s="48" t="b">
        <v>0</v>
      </c>
      <c r="AO29" s="11"/>
      <c r="AP29" s="47"/>
      <c r="AQ29" s="25"/>
      <c r="AR29" s="25"/>
      <c r="AS29" s="25"/>
      <c r="AT29" s="25"/>
      <c r="AU29" s="25"/>
      <c r="AV29" s="48" t="b">
        <v>0</v>
      </c>
      <c r="AW29" s="11"/>
      <c r="AX29" s="47" t="s">
        <v>53</v>
      </c>
      <c r="AY29" s="25"/>
      <c r="AZ29" s="25"/>
      <c r="BA29" s="25"/>
      <c r="BB29" s="25"/>
      <c r="BC29" s="25"/>
      <c r="BD29" s="48" t="b">
        <v>0</v>
      </c>
      <c r="BE29" s="38"/>
    </row>
    <row r="30">
      <c r="A30" s="5"/>
      <c r="B30" s="47"/>
      <c r="C30" s="25"/>
      <c r="D30" s="25"/>
      <c r="E30" s="25"/>
      <c r="F30" s="25"/>
      <c r="G30" s="25"/>
      <c r="H30" s="48" t="b">
        <v>0</v>
      </c>
      <c r="I30" s="11"/>
      <c r="J30" s="47" t="s">
        <v>54</v>
      </c>
      <c r="K30" s="25"/>
      <c r="L30" s="25"/>
      <c r="M30" s="25"/>
      <c r="N30" s="25"/>
      <c r="O30" s="25"/>
      <c r="P30" s="48" t="b">
        <v>1</v>
      </c>
      <c r="Q30" s="11"/>
      <c r="R30" s="47"/>
      <c r="S30" s="25"/>
      <c r="T30" s="25"/>
      <c r="U30" s="25"/>
      <c r="V30" s="25"/>
      <c r="W30" s="25"/>
      <c r="X30" s="48" t="b">
        <v>0</v>
      </c>
      <c r="Y30" s="11"/>
      <c r="Z30" s="47"/>
      <c r="AA30" s="25"/>
      <c r="AB30" s="25"/>
      <c r="AC30" s="25"/>
      <c r="AD30" s="25"/>
      <c r="AE30" s="25"/>
      <c r="AF30" s="48" t="b">
        <v>0</v>
      </c>
      <c r="AG30" s="11"/>
      <c r="AH30" s="47" t="s">
        <v>55</v>
      </c>
      <c r="AI30" s="25"/>
      <c r="AJ30" s="25"/>
      <c r="AK30" s="25"/>
      <c r="AL30" s="25"/>
      <c r="AM30" s="25"/>
      <c r="AN30" s="48" t="b">
        <v>0</v>
      </c>
      <c r="AO30" s="11"/>
      <c r="AP30" s="47"/>
      <c r="AQ30" s="25"/>
      <c r="AR30" s="25"/>
      <c r="AS30" s="25"/>
      <c r="AT30" s="25"/>
      <c r="AU30" s="25"/>
      <c r="AV30" s="48" t="b">
        <v>0</v>
      </c>
      <c r="AW30" s="11"/>
      <c r="AX30" s="47" t="s">
        <v>56</v>
      </c>
      <c r="AY30" s="25"/>
      <c r="AZ30" s="25"/>
      <c r="BA30" s="25"/>
      <c r="BB30" s="25"/>
      <c r="BC30" s="25"/>
      <c r="BD30" s="48" t="b">
        <v>0</v>
      </c>
      <c r="BE30" s="38"/>
    </row>
    <row r="31">
      <c r="A31" s="5"/>
      <c r="B31" s="47"/>
      <c r="C31" s="25"/>
      <c r="D31" s="25"/>
      <c r="E31" s="25"/>
      <c r="F31" s="25"/>
      <c r="G31" s="25"/>
      <c r="H31" s="48" t="b">
        <v>0</v>
      </c>
      <c r="I31" s="11"/>
      <c r="J31" s="47" t="s">
        <v>57</v>
      </c>
      <c r="K31" s="25"/>
      <c r="L31" s="25"/>
      <c r="M31" s="25"/>
      <c r="N31" s="25"/>
      <c r="O31" s="25"/>
      <c r="P31" s="48" t="b">
        <v>1</v>
      </c>
      <c r="Q31" s="11"/>
      <c r="R31" s="47"/>
      <c r="S31" s="25"/>
      <c r="T31" s="25"/>
      <c r="U31" s="25"/>
      <c r="V31" s="25"/>
      <c r="W31" s="25"/>
      <c r="X31" s="48" t="b">
        <v>0</v>
      </c>
      <c r="Y31" s="11"/>
      <c r="Z31" s="47"/>
      <c r="AA31" s="25"/>
      <c r="AB31" s="25"/>
      <c r="AC31" s="25"/>
      <c r="AD31" s="25"/>
      <c r="AE31" s="25"/>
      <c r="AF31" s="48" t="b">
        <v>0</v>
      </c>
      <c r="AG31" s="11"/>
      <c r="AH31" s="47"/>
      <c r="AI31" s="25"/>
      <c r="AJ31" s="25"/>
      <c r="AK31" s="25"/>
      <c r="AL31" s="25"/>
      <c r="AM31" s="25"/>
      <c r="AN31" s="48" t="b">
        <v>0</v>
      </c>
      <c r="AO31" s="11"/>
      <c r="AP31" s="47"/>
      <c r="AQ31" s="25"/>
      <c r="AR31" s="25"/>
      <c r="AS31" s="25"/>
      <c r="AT31" s="25"/>
      <c r="AU31" s="25"/>
      <c r="AV31" s="48" t="b">
        <v>0</v>
      </c>
      <c r="AW31" s="11"/>
      <c r="AX31" s="47"/>
      <c r="AY31" s="25"/>
      <c r="AZ31" s="25"/>
      <c r="BA31" s="25"/>
      <c r="BB31" s="25"/>
      <c r="BC31" s="25"/>
      <c r="BD31" s="48" t="b">
        <v>0</v>
      </c>
      <c r="BE31" s="38"/>
    </row>
    <row r="32">
      <c r="A32" s="5"/>
      <c r="B32" s="47"/>
      <c r="C32" s="25"/>
      <c r="D32" s="25"/>
      <c r="E32" s="25"/>
      <c r="F32" s="25"/>
      <c r="G32" s="25"/>
      <c r="H32" s="48" t="b">
        <v>0</v>
      </c>
      <c r="I32" s="11"/>
      <c r="J32" s="47"/>
      <c r="K32" s="25"/>
      <c r="L32" s="25"/>
      <c r="M32" s="25"/>
      <c r="N32" s="25"/>
      <c r="O32" s="25"/>
      <c r="P32" s="48" t="b">
        <v>0</v>
      </c>
      <c r="Q32" s="11"/>
      <c r="R32" s="47"/>
      <c r="S32" s="25"/>
      <c r="T32" s="25"/>
      <c r="U32" s="25"/>
      <c r="V32" s="25"/>
      <c r="W32" s="25"/>
      <c r="X32" s="48" t="b">
        <v>0</v>
      </c>
      <c r="Y32" s="11"/>
      <c r="Z32" s="47"/>
      <c r="AA32" s="25"/>
      <c r="AB32" s="25"/>
      <c r="AC32" s="25"/>
      <c r="AD32" s="25"/>
      <c r="AE32" s="25"/>
      <c r="AF32" s="48" t="b">
        <v>0</v>
      </c>
      <c r="AG32" s="11"/>
      <c r="AH32" s="47"/>
      <c r="AI32" s="25"/>
      <c r="AJ32" s="25"/>
      <c r="AK32" s="25"/>
      <c r="AL32" s="25"/>
      <c r="AM32" s="25"/>
      <c r="AN32" s="48" t="b">
        <v>0</v>
      </c>
      <c r="AO32" s="11"/>
      <c r="AP32" s="47"/>
      <c r="AQ32" s="25"/>
      <c r="AR32" s="25"/>
      <c r="AS32" s="25"/>
      <c r="AT32" s="25"/>
      <c r="AU32" s="25"/>
      <c r="AV32" s="48" t="b">
        <v>0</v>
      </c>
      <c r="AW32" s="11"/>
      <c r="AX32" s="47"/>
      <c r="AY32" s="25"/>
      <c r="AZ32" s="25"/>
      <c r="BA32" s="25"/>
      <c r="BB32" s="25"/>
      <c r="BC32" s="25"/>
      <c r="BD32" s="48" t="b">
        <v>0</v>
      </c>
      <c r="BE32" s="38"/>
    </row>
    <row r="33">
      <c r="A33" s="5"/>
      <c r="B33" s="47"/>
      <c r="C33" s="25"/>
      <c r="D33" s="25"/>
      <c r="E33" s="25"/>
      <c r="F33" s="25"/>
      <c r="G33" s="25"/>
      <c r="H33" s="48" t="b">
        <v>0</v>
      </c>
      <c r="I33" s="11"/>
      <c r="J33" s="47"/>
      <c r="K33" s="25"/>
      <c r="L33" s="25"/>
      <c r="M33" s="25"/>
      <c r="N33" s="25"/>
      <c r="O33" s="25"/>
      <c r="P33" s="48" t="b">
        <v>0</v>
      </c>
      <c r="Q33" s="11"/>
      <c r="R33" s="47"/>
      <c r="S33" s="25"/>
      <c r="T33" s="25"/>
      <c r="U33" s="25"/>
      <c r="V33" s="25"/>
      <c r="W33" s="25"/>
      <c r="X33" s="48" t="b">
        <v>0</v>
      </c>
      <c r="Y33" s="11"/>
      <c r="Z33" s="47"/>
      <c r="AA33" s="25"/>
      <c r="AB33" s="25"/>
      <c r="AC33" s="25"/>
      <c r="AD33" s="25"/>
      <c r="AE33" s="25"/>
      <c r="AF33" s="48" t="b">
        <v>0</v>
      </c>
      <c r="AG33" s="11"/>
      <c r="AH33" s="47"/>
      <c r="AI33" s="25"/>
      <c r="AJ33" s="25"/>
      <c r="AK33" s="25"/>
      <c r="AL33" s="25"/>
      <c r="AM33" s="25"/>
      <c r="AN33" s="48" t="b">
        <v>0</v>
      </c>
      <c r="AO33" s="11"/>
      <c r="AP33" s="47"/>
      <c r="AQ33" s="25"/>
      <c r="AR33" s="25"/>
      <c r="AS33" s="25"/>
      <c r="AT33" s="25"/>
      <c r="AU33" s="25"/>
      <c r="AV33" s="48" t="b">
        <v>0</v>
      </c>
      <c r="AW33" s="11"/>
      <c r="AX33" s="47"/>
      <c r="AY33" s="25"/>
      <c r="AZ33" s="25"/>
      <c r="BA33" s="25"/>
      <c r="BB33" s="25"/>
      <c r="BC33" s="25"/>
      <c r="BD33" s="48" t="b">
        <v>0</v>
      </c>
      <c r="BE33" s="38"/>
    </row>
    <row r="34">
      <c r="A34" s="5"/>
      <c r="B34" s="47"/>
      <c r="C34" s="25"/>
      <c r="D34" s="25"/>
      <c r="E34" s="25"/>
      <c r="F34" s="25"/>
      <c r="G34" s="25"/>
      <c r="H34" s="48" t="b">
        <v>0</v>
      </c>
      <c r="I34" s="11"/>
      <c r="J34" s="47"/>
      <c r="K34" s="25"/>
      <c r="L34" s="25"/>
      <c r="M34" s="25"/>
      <c r="N34" s="25"/>
      <c r="O34" s="25"/>
      <c r="P34" s="48" t="b">
        <v>0</v>
      </c>
      <c r="Q34" s="11"/>
      <c r="R34" s="47"/>
      <c r="S34" s="25"/>
      <c r="T34" s="25"/>
      <c r="U34" s="25"/>
      <c r="V34" s="25"/>
      <c r="W34" s="25"/>
      <c r="X34" s="48" t="b">
        <v>0</v>
      </c>
      <c r="Y34" s="11"/>
      <c r="Z34" s="47"/>
      <c r="AA34" s="25"/>
      <c r="AB34" s="25"/>
      <c r="AC34" s="25"/>
      <c r="AD34" s="25"/>
      <c r="AE34" s="25"/>
      <c r="AF34" s="48" t="b">
        <v>0</v>
      </c>
      <c r="AG34" s="11"/>
      <c r="AH34" s="47"/>
      <c r="AI34" s="25"/>
      <c r="AJ34" s="25"/>
      <c r="AK34" s="25"/>
      <c r="AL34" s="25"/>
      <c r="AM34" s="25"/>
      <c r="AN34" s="48" t="b">
        <v>0</v>
      </c>
      <c r="AO34" s="11"/>
      <c r="AP34" s="47"/>
      <c r="AQ34" s="25"/>
      <c r="AR34" s="25"/>
      <c r="AS34" s="25"/>
      <c r="AT34" s="25"/>
      <c r="AU34" s="25"/>
      <c r="AV34" s="48" t="b">
        <v>0</v>
      </c>
      <c r="AW34" s="11"/>
      <c r="AX34" s="47"/>
      <c r="AY34" s="25"/>
      <c r="AZ34" s="25"/>
      <c r="BA34" s="25"/>
      <c r="BB34" s="25"/>
      <c r="BC34" s="25"/>
      <c r="BD34" s="48" t="b">
        <v>0</v>
      </c>
      <c r="BE34" s="38"/>
    </row>
    <row r="35">
      <c r="A35" s="5"/>
      <c r="B35" s="47"/>
      <c r="C35" s="25"/>
      <c r="D35" s="25"/>
      <c r="E35" s="25"/>
      <c r="F35" s="25"/>
      <c r="G35" s="25"/>
      <c r="H35" s="48" t="b">
        <v>0</v>
      </c>
      <c r="I35" s="11"/>
      <c r="J35" s="47"/>
      <c r="K35" s="25"/>
      <c r="L35" s="25"/>
      <c r="M35" s="25"/>
      <c r="N35" s="25"/>
      <c r="O35" s="25"/>
      <c r="P35" s="48" t="b">
        <v>0</v>
      </c>
      <c r="Q35" s="11"/>
      <c r="R35" s="47"/>
      <c r="S35" s="25"/>
      <c r="T35" s="25"/>
      <c r="U35" s="25"/>
      <c r="V35" s="25"/>
      <c r="W35" s="25"/>
      <c r="X35" s="48" t="b">
        <v>0</v>
      </c>
      <c r="Y35" s="11"/>
      <c r="Z35" s="47"/>
      <c r="AA35" s="25"/>
      <c r="AB35" s="25"/>
      <c r="AC35" s="25"/>
      <c r="AD35" s="25"/>
      <c r="AE35" s="25"/>
      <c r="AF35" s="48" t="b">
        <v>0</v>
      </c>
      <c r="AG35" s="11"/>
      <c r="AH35" s="47"/>
      <c r="AI35" s="25"/>
      <c r="AJ35" s="25"/>
      <c r="AK35" s="25"/>
      <c r="AL35" s="25"/>
      <c r="AM35" s="25"/>
      <c r="AN35" s="48" t="b">
        <v>0</v>
      </c>
      <c r="AO35" s="11"/>
      <c r="AP35" s="47"/>
      <c r="AQ35" s="25"/>
      <c r="AR35" s="25"/>
      <c r="AS35" s="25"/>
      <c r="AT35" s="25"/>
      <c r="AU35" s="25"/>
      <c r="AV35" s="48" t="b">
        <v>0</v>
      </c>
      <c r="AW35" s="11"/>
      <c r="AX35" s="47"/>
      <c r="AY35" s="25"/>
      <c r="AZ35" s="25"/>
      <c r="BA35" s="25"/>
      <c r="BB35" s="25"/>
      <c r="BC35" s="25"/>
      <c r="BD35" s="48" t="b">
        <v>0</v>
      </c>
      <c r="BE35" s="38"/>
    </row>
    <row r="36">
      <c r="A36" s="5"/>
      <c r="B36" s="47"/>
      <c r="C36" s="25"/>
      <c r="D36" s="25"/>
      <c r="E36" s="25"/>
      <c r="F36" s="25"/>
      <c r="G36" s="25"/>
      <c r="H36" s="48" t="b">
        <v>0</v>
      </c>
      <c r="I36" s="11"/>
      <c r="J36" s="47"/>
      <c r="K36" s="25"/>
      <c r="L36" s="25"/>
      <c r="M36" s="25"/>
      <c r="N36" s="25"/>
      <c r="O36" s="25"/>
      <c r="P36" s="48" t="b">
        <v>0</v>
      </c>
      <c r="Q36" s="11"/>
      <c r="R36" s="47"/>
      <c r="S36" s="25"/>
      <c r="T36" s="25"/>
      <c r="U36" s="25"/>
      <c r="V36" s="25"/>
      <c r="W36" s="25"/>
      <c r="X36" s="48" t="b">
        <v>0</v>
      </c>
      <c r="Y36" s="11"/>
      <c r="Z36" s="47"/>
      <c r="AA36" s="25"/>
      <c r="AB36" s="25"/>
      <c r="AC36" s="25"/>
      <c r="AD36" s="25"/>
      <c r="AE36" s="25"/>
      <c r="AF36" s="48" t="b">
        <v>0</v>
      </c>
      <c r="AG36" s="11"/>
      <c r="AH36" s="47"/>
      <c r="AI36" s="25"/>
      <c r="AJ36" s="25"/>
      <c r="AK36" s="25"/>
      <c r="AL36" s="25"/>
      <c r="AM36" s="25"/>
      <c r="AN36" s="48" t="b">
        <v>0</v>
      </c>
      <c r="AO36" s="11"/>
      <c r="AP36" s="47"/>
      <c r="AQ36" s="25"/>
      <c r="AR36" s="25"/>
      <c r="AS36" s="25"/>
      <c r="AT36" s="25"/>
      <c r="AU36" s="25"/>
      <c r="AV36" s="48" t="b">
        <v>0</v>
      </c>
      <c r="AW36" s="11"/>
      <c r="AX36" s="47"/>
      <c r="AY36" s="25"/>
      <c r="AZ36" s="25"/>
      <c r="BA36" s="25"/>
      <c r="BB36" s="25"/>
      <c r="BC36" s="25"/>
      <c r="BD36" s="48" t="b">
        <v>0</v>
      </c>
      <c r="BE36" s="38"/>
    </row>
    <row r="37">
      <c r="A37" s="5"/>
      <c r="B37" s="47"/>
      <c r="C37" s="25"/>
      <c r="D37" s="25"/>
      <c r="E37" s="25"/>
      <c r="F37" s="25"/>
      <c r="G37" s="25"/>
      <c r="H37" s="48" t="b">
        <v>0</v>
      </c>
      <c r="I37" s="11"/>
      <c r="J37" s="47"/>
      <c r="K37" s="25"/>
      <c r="L37" s="25"/>
      <c r="M37" s="25"/>
      <c r="N37" s="25"/>
      <c r="O37" s="25"/>
      <c r="P37" s="48" t="b">
        <v>0</v>
      </c>
      <c r="Q37" s="11"/>
      <c r="R37" s="47"/>
      <c r="S37" s="25"/>
      <c r="T37" s="25"/>
      <c r="U37" s="25"/>
      <c r="V37" s="25"/>
      <c r="W37" s="25"/>
      <c r="X37" s="48" t="b">
        <v>0</v>
      </c>
      <c r="Y37" s="11"/>
      <c r="Z37" s="47"/>
      <c r="AA37" s="25"/>
      <c r="AB37" s="25"/>
      <c r="AC37" s="25"/>
      <c r="AD37" s="25"/>
      <c r="AE37" s="25"/>
      <c r="AF37" s="48" t="b">
        <v>0</v>
      </c>
      <c r="AG37" s="11"/>
      <c r="AH37" s="47"/>
      <c r="AI37" s="25"/>
      <c r="AJ37" s="25"/>
      <c r="AK37" s="25"/>
      <c r="AL37" s="25"/>
      <c r="AM37" s="25"/>
      <c r="AN37" s="48" t="b">
        <v>0</v>
      </c>
      <c r="AO37" s="11"/>
      <c r="AP37" s="47"/>
      <c r="AQ37" s="25"/>
      <c r="AR37" s="25"/>
      <c r="AS37" s="25"/>
      <c r="AT37" s="25"/>
      <c r="AU37" s="25"/>
      <c r="AV37" s="48" t="b">
        <v>0</v>
      </c>
      <c r="AW37" s="11"/>
      <c r="AX37" s="47"/>
      <c r="AY37" s="25"/>
      <c r="AZ37" s="25"/>
      <c r="BA37" s="25"/>
      <c r="BB37" s="25"/>
      <c r="BC37" s="25"/>
      <c r="BD37" s="48" t="b">
        <v>0</v>
      </c>
      <c r="BE37" s="38"/>
    </row>
    <row r="38">
      <c r="A38" s="5"/>
      <c r="B38" s="47"/>
      <c r="C38" s="25"/>
      <c r="D38" s="25"/>
      <c r="E38" s="25"/>
      <c r="F38" s="25"/>
      <c r="G38" s="25"/>
      <c r="H38" s="48" t="b">
        <v>0</v>
      </c>
      <c r="I38" s="11"/>
      <c r="J38" s="47"/>
      <c r="K38" s="25"/>
      <c r="L38" s="25"/>
      <c r="M38" s="25"/>
      <c r="N38" s="25"/>
      <c r="O38" s="25"/>
      <c r="P38" s="48" t="b">
        <v>0</v>
      </c>
      <c r="Q38" s="11"/>
      <c r="R38" s="47"/>
      <c r="S38" s="25"/>
      <c r="T38" s="25"/>
      <c r="U38" s="25"/>
      <c r="V38" s="25"/>
      <c r="W38" s="25"/>
      <c r="X38" s="48" t="b">
        <v>0</v>
      </c>
      <c r="Y38" s="11"/>
      <c r="Z38" s="47"/>
      <c r="AA38" s="25"/>
      <c r="AB38" s="25"/>
      <c r="AC38" s="25"/>
      <c r="AD38" s="25"/>
      <c r="AE38" s="25"/>
      <c r="AF38" s="48" t="b">
        <v>0</v>
      </c>
      <c r="AG38" s="11"/>
      <c r="AH38" s="47"/>
      <c r="AI38" s="25"/>
      <c r="AJ38" s="25"/>
      <c r="AK38" s="25"/>
      <c r="AL38" s="25"/>
      <c r="AM38" s="25"/>
      <c r="AN38" s="48" t="b">
        <v>0</v>
      </c>
      <c r="AO38" s="11"/>
      <c r="AP38" s="47"/>
      <c r="AQ38" s="25"/>
      <c r="AR38" s="25"/>
      <c r="AS38" s="25"/>
      <c r="AT38" s="25"/>
      <c r="AU38" s="25"/>
      <c r="AV38" s="48" t="b">
        <v>0</v>
      </c>
      <c r="AW38" s="11"/>
      <c r="AX38" s="47"/>
      <c r="AY38" s="25"/>
      <c r="AZ38" s="25"/>
      <c r="BA38" s="25"/>
      <c r="BB38" s="25"/>
      <c r="BC38" s="25"/>
      <c r="BD38" s="48" t="b">
        <v>0</v>
      </c>
      <c r="BE38" s="38"/>
    </row>
    <row r="39">
      <c r="A39" s="5"/>
      <c r="B39" s="47"/>
      <c r="C39" s="25"/>
      <c r="D39" s="25"/>
      <c r="E39" s="25"/>
      <c r="F39" s="25"/>
      <c r="G39" s="25"/>
      <c r="H39" s="48" t="b">
        <v>0</v>
      </c>
      <c r="I39" s="11"/>
      <c r="J39" s="47"/>
      <c r="K39" s="25"/>
      <c r="L39" s="25"/>
      <c r="M39" s="25"/>
      <c r="N39" s="25"/>
      <c r="O39" s="25"/>
      <c r="P39" s="48" t="b">
        <v>0</v>
      </c>
      <c r="Q39" s="11"/>
      <c r="R39" s="47"/>
      <c r="S39" s="25"/>
      <c r="T39" s="25"/>
      <c r="U39" s="25"/>
      <c r="V39" s="25"/>
      <c r="W39" s="25"/>
      <c r="X39" s="48" t="b">
        <v>0</v>
      </c>
      <c r="Y39" s="11"/>
      <c r="Z39" s="47"/>
      <c r="AA39" s="25"/>
      <c r="AB39" s="25"/>
      <c r="AC39" s="25"/>
      <c r="AD39" s="25"/>
      <c r="AE39" s="25"/>
      <c r="AF39" s="48" t="b">
        <v>0</v>
      </c>
      <c r="AG39" s="11"/>
      <c r="AH39" s="47"/>
      <c r="AI39" s="25"/>
      <c r="AJ39" s="25"/>
      <c r="AK39" s="25"/>
      <c r="AL39" s="25"/>
      <c r="AM39" s="25"/>
      <c r="AN39" s="48" t="b">
        <v>0</v>
      </c>
      <c r="AO39" s="11"/>
      <c r="AP39" s="47"/>
      <c r="AQ39" s="25"/>
      <c r="AR39" s="25"/>
      <c r="AS39" s="25"/>
      <c r="AT39" s="25"/>
      <c r="AU39" s="25"/>
      <c r="AV39" s="48" t="b">
        <v>0</v>
      </c>
      <c r="AW39" s="11"/>
      <c r="AX39" s="47"/>
      <c r="AY39" s="25"/>
      <c r="AZ39" s="25"/>
      <c r="BA39" s="25"/>
      <c r="BB39" s="25"/>
      <c r="BC39" s="25"/>
      <c r="BD39" s="48" t="b">
        <v>0</v>
      </c>
      <c r="BE39" s="38"/>
    </row>
    <row r="40" ht="15.75" customHeight="1">
      <c r="A40" s="5"/>
      <c r="B40" s="49" t="s">
        <v>58</v>
      </c>
      <c r="G40" s="50">
        <f t="shared" ref="G40:G41" si="2">C60</f>
        <v>4</v>
      </c>
      <c r="H40" s="40"/>
      <c r="I40" s="51"/>
      <c r="J40" s="49" t="s">
        <v>58</v>
      </c>
      <c r="O40" s="50">
        <v>4.0</v>
      </c>
      <c r="P40" s="40"/>
      <c r="Q40" s="51"/>
      <c r="R40" s="49" t="s">
        <v>58</v>
      </c>
      <c r="W40" s="50">
        <f t="shared" ref="W40:W41" si="3">J60</f>
        <v>0</v>
      </c>
      <c r="X40" s="40"/>
      <c r="Y40" s="51"/>
      <c r="Z40" s="49" t="s">
        <v>58</v>
      </c>
      <c r="AE40" s="50">
        <f t="shared" ref="AE40:AE41" si="4">M60</f>
        <v>0</v>
      </c>
      <c r="AF40" s="40"/>
      <c r="AG40" s="51"/>
      <c r="AH40" s="49" t="s">
        <v>58</v>
      </c>
      <c r="AM40" s="50">
        <f t="shared" ref="AM40:AM41" si="5">P60</f>
        <v>0</v>
      </c>
      <c r="AN40" s="40"/>
      <c r="AO40" s="51"/>
      <c r="AP40" s="49" t="s">
        <v>58</v>
      </c>
      <c r="AU40" s="50">
        <f t="shared" ref="AU40:AU41" si="6">T60</f>
        <v>0</v>
      </c>
      <c r="AV40" s="40"/>
      <c r="AW40" s="51"/>
      <c r="AX40" s="49" t="s">
        <v>58</v>
      </c>
      <c r="BC40" s="50">
        <f t="shared" ref="BC40:BC41" si="7">W60</f>
        <v>0</v>
      </c>
      <c r="BD40" s="40"/>
      <c r="BE40" s="38"/>
    </row>
    <row r="41">
      <c r="A41" s="5"/>
      <c r="B41" s="52" t="s">
        <v>59</v>
      </c>
      <c r="C41" s="44"/>
      <c r="D41" s="44"/>
      <c r="E41" s="44"/>
      <c r="F41" s="44"/>
      <c r="G41" s="53">
        <f t="shared" si="2"/>
        <v>1</v>
      </c>
      <c r="H41" s="45"/>
      <c r="I41" s="51"/>
      <c r="J41" s="52" t="s">
        <v>59</v>
      </c>
      <c r="K41" s="44"/>
      <c r="L41" s="44"/>
      <c r="M41" s="44"/>
      <c r="N41" s="44"/>
      <c r="O41" s="53">
        <v>2.0</v>
      </c>
      <c r="P41" s="45"/>
      <c r="Q41" s="51"/>
      <c r="R41" s="52" t="s">
        <v>59</v>
      </c>
      <c r="S41" s="44"/>
      <c r="T41" s="44"/>
      <c r="U41" s="44"/>
      <c r="V41" s="44"/>
      <c r="W41" s="53">
        <f t="shared" si="3"/>
        <v>5</v>
      </c>
      <c r="X41" s="45"/>
      <c r="Y41" s="51"/>
      <c r="Z41" s="52" t="s">
        <v>59</v>
      </c>
      <c r="AA41" s="44"/>
      <c r="AB41" s="44"/>
      <c r="AC41" s="44"/>
      <c r="AD41" s="44"/>
      <c r="AE41" s="53">
        <f t="shared" si="4"/>
        <v>4</v>
      </c>
      <c r="AF41" s="45"/>
      <c r="AG41" s="51"/>
      <c r="AH41" s="52" t="s">
        <v>59</v>
      </c>
      <c r="AI41" s="44"/>
      <c r="AJ41" s="44"/>
      <c r="AK41" s="44"/>
      <c r="AL41" s="44"/>
      <c r="AM41" s="53">
        <f t="shared" si="5"/>
        <v>6</v>
      </c>
      <c r="AN41" s="45"/>
      <c r="AO41" s="51"/>
      <c r="AP41" s="52" t="s">
        <v>59</v>
      </c>
      <c r="AQ41" s="44"/>
      <c r="AR41" s="44"/>
      <c r="AS41" s="44"/>
      <c r="AT41" s="44"/>
      <c r="AU41" s="53">
        <f t="shared" si="6"/>
        <v>4</v>
      </c>
      <c r="AV41" s="45"/>
      <c r="AW41" s="51"/>
      <c r="AX41" s="52" t="s">
        <v>59</v>
      </c>
      <c r="AY41" s="44"/>
      <c r="AZ41" s="44"/>
      <c r="BA41" s="44"/>
      <c r="BB41" s="44"/>
      <c r="BC41" s="53">
        <f t="shared" si="7"/>
        <v>6</v>
      </c>
      <c r="BD41" s="45"/>
      <c r="BE41" s="38"/>
    </row>
    <row r="42" ht="7.5" customHeight="1">
      <c r="A42" s="5"/>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38"/>
    </row>
    <row r="43">
      <c r="A43" s="5"/>
      <c r="B43" s="54" t="s">
        <v>60</v>
      </c>
      <c r="C43" s="35"/>
      <c r="D43" s="35"/>
      <c r="E43" s="35"/>
      <c r="F43" s="35"/>
      <c r="G43" s="35"/>
      <c r="H43" s="36"/>
      <c r="I43" s="11"/>
      <c r="J43" s="54" t="s">
        <v>60</v>
      </c>
      <c r="K43" s="35"/>
      <c r="L43" s="35"/>
      <c r="M43" s="35"/>
      <c r="N43" s="35"/>
      <c r="O43" s="35"/>
      <c r="P43" s="36"/>
      <c r="Q43" s="11"/>
      <c r="R43" s="54" t="s">
        <v>60</v>
      </c>
      <c r="S43" s="35"/>
      <c r="T43" s="35"/>
      <c r="U43" s="35"/>
      <c r="V43" s="35"/>
      <c r="W43" s="35"/>
      <c r="X43" s="36"/>
      <c r="Y43" s="11"/>
      <c r="Z43" s="54" t="s">
        <v>60</v>
      </c>
      <c r="AA43" s="35"/>
      <c r="AB43" s="35"/>
      <c r="AC43" s="35"/>
      <c r="AD43" s="35"/>
      <c r="AE43" s="35"/>
      <c r="AF43" s="36"/>
      <c r="AG43" s="11"/>
      <c r="AH43" s="54" t="s">
        <v>60</v>
      </c>
      <c r="AI43" s="35"/>
      <c r="AJ43" s="35"/>
      <c r="AK43" s="35"/>
      <c r="AL43" s="35"/>
      <c r="AM43" s="35"/>
      <c r="AN43" s="36"/>
      <c r="AO43" s="11"/>
      <c r="AP43" s="54" t="s">
        <v>60</v>
      </c>
      <c r="AQ43" s="35"/>
      <c r="AR43" s="35"/>
      <c r="AS43" s="35"/>
      <c r="AT43" s="35"/>
      <c r="AU43" s="35"/>
      <c r="AV43" s="36"/>
      <c r="AW43" s="11"/>
      <c r="AX43" s="54" t="s">
        <v>60</v>
      </c>
      <c r="AY43" s="35"/>
      <c r="AZ43" s="35"/>
      <c r="BA43" s="35"/>
      <c r="BB43" s="35"/>
      <c r="BC43" s="35"/>
      <c r="BD43" s="36"/>
      <c r="BE43" s="38"/>
    </row>
    <row r="44">
      <c r="A44" s="5"/>
      <c r="B44" s="55" t="s">
        <v>61</v>
      </c>
      <c r="C44" s="56" t="s">
        <v>62</v>
      </c>
      <c r="D44" s="25"/>
      <c r="E44" s="25"/>
      <c r="F44" s="25"/>
      <c r="G44" s="25"/>
      <c r="H44" s="57"/>
      <c r="I44" s="11"/>
      <c r="J44" s="55" t="s">
        <v>61</v>
      </c>
      <c r="K44" s="56" t="s">
        <v>63</v>
      </c>
      <c r="L44" s="25"/>
      <c r="M44" s="25"/>
      <c r="N44" s="25"/>
      <c r="O44" s="25"/>
      <c r="P44" s="57"/>
      <c r="Q44" s="11"/>
      <c r="R44" s="55" t="s">
        <v>61</v>
      </c>
      <c r="S44" s="56" t="s">
        <v>64</v>
      </c>
      <c r="T44" s="25"/>
      <c r="U44" s="25"/>
      <c r="V44" s="25"/>
      <c r="W44" s="25"/>
      <c r="X44" s="57"/>
      <c r="Y44" s="11"/>
      <c r="Z44" s="55" t="s">
        <v>61</v>
      </c>
      <c r="AA44" s="56"/>
      <c r="AB44" s="25"/>
      <c r="AC44" s="25"/>
      <c r="AD44" s="25"/>
      <c r="AE44" s="25"/>
      <c r="AF44" s="57"/>
      <c r="AG44" s="11"/>
      <c r="AH44" s="55" t="s">
        <v>61</v>
      </c>
      <c r="AI44" s="56"/>
      <c r="AJ44" s="25"/>
      <c r="AK44" s="25"/>
      <c r="AL44" s="25"/>
      <c r="AM44" s="25"/>
      <c r="AN44" s="57"/>
      <c r="AO44" s="11"/>
      <c r="AP44" s="55" t="s">
        <v>61</v>
      </c>
      <c r="AQ44" s="56"/>
      <c r="AR44" s="25"/>
      <c r="AS44" s="25"/>
      <c r="AT44" s="25"/>
      <c r="AU44" s="25"/>
      <c r="AV44" s="57"/>
      <c r="AW44" s="11"/>
      <c r="AX44" s="55" t="s">
        <v>61</v>
      </c>
      <c r="AY44" s="56"/>
      <c r="AZ44" s="25"/>
      <c r="BA44" s="25"/>
      <c r="BB44" s="25"/>
      <c r="BC44" s="25"/>
      <c r="BD44" s="57"/>
      <c r="BE44" s="38"/>
    </row>
    <row r="45">
      <c r="A45" s="5"/>
      <c r="B45" s="55" t="s">
        <v>65</v>
      </c>
      <c r="C45" s="56"/>
      <c r="D45" s="25"/>
      <c r="E45" s="25"/>
      <c r="F45" s="25"/>
      <c r="G45" s="25"/>
      <c r="H45" s="57"/>
      <c r="I45" s="11"/>
      <c r="J45" s="55" t="s">
        <v>65</v>
      </c>
      <c r="K45" s="56" t="s">
        <v>66</v>
      </c>
      <c r="L45" s="25"/>
      <c r="M45" s="25"/>
      <c r="N45" s="25"/>
      <c r="O45" s="25"/>
      <c r="P45" s="57"/>
      <c r="Q45" s="11"/>
      <c r="R45" s="55" t="s">
        <v>65</v>
      </c>
      <c r="S45" s="58"/>
      <c r="T45" s="25"/>
      <c r="U45" s="25"/>
      <c r="V45" s="25"/>
      <c r="W45" s="25"/>
      <c r="X45" s="57"/>
      <c r="Y45" s="11"/>
      <c r="Z45" s="55" t="s">
        <v>65</v>
      </c>
      <c r="AA45" s="58"/>
      <c r="AB45" s="25"/>
      <c r="AC45" s="25"/>
      <c r="AD45" s="25"/>
      <c r="AE45" s="25"/>
      <c r="AF45" s="57"/>
      <c r="AG45" s="11"/>
      <c r="AH45" s="55" t="s">
        <v>65</v>
      </c>
      <c r="AI45" s="58"/>
      <c r="AJ45" s="25"/>
      <c r="AK45" s="25"/>
      <c r="AL45" s="25"/>
      <c r="AM45" s="25"/>
      <c r="AN45" s="57"/>
      <c r="AO45" s="11"/>
      <c r="AP45" s="55" t="s">
        <v>65</v>
      </c>
      <c r="AQ45" s="58"/>
      <c r="AR45" s="25"/>
      <c r="AS45" s="25"/>
      <c r="AT45" s="25"/>
      <c r="AU45" s="25"/>
      <c r="AV45" s="57"/>
      <c r="AW45" s="11"/>
      <c r="AX45" s="55" t="s">
        <v>65</v>
      </c>
      <c r="AY45" s="58"/>
      <c r="AZ45" s="25"/>
      <c r="BA45" s="25"/>
      <c r="BB45" s="25"/>
      <c r="BC45" s="25"/>
      <c r="BD45" s="57"/>
      <c r="BE45" s="38"/>
    </row>
    <row r="46">
      <c r="A46" s="5"/>
      <c r="B46" s="55" t="s">
        <v>67</v>
      </c>
      <c r="C46" s="58"/>
      <c r="D46" s="25"/>
      <c r="E46" s="25"/>
      <c r="F46" s="25"/>
      <c r="G46" s="25"/>
      <c r="H46" s="57"/>
      <c r="I46" s="11"/>
      <c r="J46" s="55" t="s">
        <v>67</v>
      </c>
      <c r="K46" s="58"/>
      <c r="L46" s="25"/>
      <c r="M46" s="25"/>
      <c r="N46" s="25"/>
      <c r="O46" s="25"/>
      <c r="P46" s="57"/>
      <c r="Q46" s="11"/>
      <c r="R46" s="55" t="s">
        <v>67</v>
      </c>
      <c r="S46" s="58"/>
      <c r="T46" s="25"/>
      <c r="U46" s="25"/>
      <c r="V46" s="25"/>
      <c r="W46" s="25"/>
      <c r="X46" s="57"/>
      <c r="Y46" s="11"/>
      <c r="Z46" s="55" t="s">
        <v>67</v>
      </c>
      <c r="AA46" s="58"/>
      <c r="AB46" s="25"/>
      <c r="AC46" s="25"/>
      <c r="AD46" s="25"/>
      <c r="AE46" s="25"/>
      <c r="AF46" s="57"/>
      <c r="AG46" s="11"/>
      <c r="AH46" s="55" t="s">
        <v>67</v>
      </c>
      <c r="AI46" s="58"/>
      <c r="AJ46" s="25"/>
      <c r="AK46" s="25"/>
      <c r="AL46" s="25"/>
      <c r="AM46" s="25"/>
      <c r="AN46" s="57"/>
      <c r="AO46" s="11"/>
      <c r="AP46" s="55" t="s">
        <v>67</v>
      </c>
      <c r="AQ46" s="58"/>
      <c r="AR46" s="25"/>
      <c r="AS46" s="25"/>
      <c r="AT46" s="25"/>
      <c r="AU46" s="25"/>
      <c r="AV46" s="57"/>
      <c r="AW46" s="11"/>
      <c r="AX46" s="55" t="s">
        <v>67</v>
      </c>
      <c r="AY46" s="58"/>
      <c r="AZ46" s="25"/>
      <c r="BA46" s="25"/>
      <c r="BB46" s="25"/>
      <c r="BC46" s="25"/>
      <c r="BD46" s="57"/>
      <c r="BE46" s="38"/>
    </row>
    <row r="47">
      <c r="A47" s="5"/>
      <c r="B47" s="59" t="s">
        <v>68</v>
      </c>
      <c r="H47" s="40"/>
      <c r="I47" s="11"/>
      <c r="J47" s="59" t="s">
        <v>68</v>
      </c>
      <c r="P47" s="40"/>
      <c r="Q47" s="11"/>
      <c r="R47" s="59" t="s">
        <v>68</v>
      </c>
      <c r="X47" s="40"/>
      <c r="Y47" s="11"/>
      <c r="Z47" s="59" t="s">
        <v>68</v>
      </c>
      <c r="AF47" s="40"/>
      <c r="AG47" s="11"/>
      <c r="AH47" s="59" t="s">
        <v>68</v>
      </c>
      <c r="AN47" s="40"/>
      <c r="AO47" s="11"/>
      <c r="AP47" s="59" t="s">
        <v>68</v>
      </c>
      <c r="AV47" s="40"/>
      <c r="AW47" s="11"/>
      <c r="AX47" s="59" t="s">
        <v>68</v>
      </c>
      <c r="BD47" s="40"/>
      <c r="BE47" s="38"/>
    </row>
    <row r="48">
      <c r="A48" s="5"/>
      <c r="B48" s="55" t="s">
        <v>61</v>
      </c>
      <c r="C48" s="56" t="s">
        <v>69</v>
      </c>
      <c r="D48" s="25"/>
      <c r="E48" s="25"/>
      <c r="F48" s="25"/>
      <c r="G48" s="25"/>
      <c r="H48" s="57"/>
      <c r="I48" s="11"/>
      <c r="J48" s="55" t="s">
        <v>61</v>
      </c>
      <c r="K48" s="56" t="s">
        <v>70</v>
      </c>
      <c r="L48" s="25"/>
      <c r="M48" s="25"/>
      <c r="N48" s="25"/>
      <c r="O48" s="25"/>
      <c r="P48" s="57"/>
      <c r="Q48" s="11"/>
      <c r="R48" s="55" t="s">
        <v>61</v>
      </c>
      <c r="S48" s="56" t="s">
        <v>71</v>
      </c>
      <c r="T48" s="25"/>
      <c r="U48" s="25"/>
      <c r="V48" s="25"/>
      <c r="W48" s="25"/>
      <c r="X48" s="57"/>
      <c r="Y48" s="11"/>
      <c r="Z48" s="55" t="s">
        <v>61</v>
      </c>
      <c r="AA48" s="56"/>
      <c r="AB48" s="25"/>
      <c r="AC48" s="25"/>
      <c r="AD48" s="25"/>
      <c r="AE48" s="25"/>
      <c r="AF48" s="57"/>
      <c r="AG48" s="11"/>
      <c r="AH48" s="55" t="s">
        <v>61</v>
      </c>
      <c r="AI48" s="56"/>
      <c r="AJ48" s="25"/>
      <c r="AK48" s="25"/>
      <c r="AL48" s="25"/>
      <c r="AM48" s="25"/>
      <c r="AN48" s="57"/>
      <c r="AO48" s="11"/>
      <c r="AP48" s="55" t="s">
        <v>61</v>
      </c>
      <c r="AQ48" s="56"/>
      <c r="AR48" s="25"/>
      <c r="AS48" s="25"/>
      <c r="AT48" s="25"/>
      <c r="AU48" s="25"/>
      <c r="AV48" s="57"/>
      <c r="AW48" s="11"/>
      <c r="AX48" s="55" t="s">
        <v>61</v>
      </c>
      <c r="AY48" s="56"/>
      <c r="AZ48" s="25"/>
      <c r="BA48" s="25"/>
      <c r="BB48" s="25"/>
      <c r="BC48" s="25"/>
      <c r="BD48" s="57"/>
      <c r="BE48" s="38"/>
    </row>
    <row r="49">
      <c r="A49" s="5"/>
      <c r="B49" s="55" t="s">
        <v>65</v>
      </c>
      <c r="C49" s="56" t="s">
        <v>72</v>
      </c>
      <c r="D49" s="25"/>
      <c r="E49" s="25"/>
      <c r="F49" s="25"/>
      <c r="G49" s="25"/>
      <c r="H49" s="57"/>
      <c r="I49" s="11"/>
      <c r="J49" s="55" t="s">
        <v>65</v>
      </c>
      <c r="K49" s="56" t="s">
        <v>73</v>
      </c>
      <c r="L49" s="25"/>
      <c r="M49" s="25"/>
      <c r="N49" s="25"/>
      <c r="O49" s="25"/>
      <c r="P49" s="57"/>
      <c r="Q49" s="11"/>
      <c r="R49" s="55" t="s">
        <v>65</v>
      </c>
      <c r="S49" s="58"/>
      <c r="T49" s="25"/>
      <c r="U49" s="25"/>
      <c r="V49" s="25"/>
      <c r="W49" s="25"/>
      <c r="X49" s="57"/>
      <c r="Y49" s="11"/>
      <c r="Z49" s="55" t="s">
        <v>65</v>
      </c>
      <c r="AA49" s="58"/>
      <c r="AB49" s="25"/>
      <c r="AC49" s="25"/>
      <c r="AD49" s="25"/>
      <c r="AE49" s="25"/>
      <c r="AF49" s="57"/>
      <c r="AG49" s="11"/>
      <c r="AH49" s="55" t="s">
        <v>65</v>
      </c>
      <c r="AI49" s="58"/>
      <c r="AJ49" s="25"/>
      <c r="AK49" s="25"/>
      <c r="AL49" s="25"/>
      <c r="AM49" s="25"/>
      <c r="AN49" s="57"/>
      <c r="AO49" s="11"/>
      <c r="AP49" s="55" t="s">
        <v>65</v>
      </c>
      <c r="AQ49" s="58"/>
      <c r="AR49" s="25"/>
      <c r="AS49" s="25"/>
      <c r="AT49" s="25"/>
      <c r="AU49" s="25"/>
      <c r="AV49" s="57"/>
      <c r="AW49" s="11"/>
      <c r="AX49" s="55" t="s">
        <v>65</v>
      </c>
      <c r="AY49" s="58"/>
      <c r="AZ49" s="25"/>
      <c r="BA49" s="25"/>
      <c r="BB49" s="25"/>
      <c r="BC49" s="25"/>
      <c r="BD49" s="57"/>
      <c r="BE49" s="38"/>
    </row>
    <row r="50">
      <c r="A50" s="5"/>
      <c r="B50" s="55" t="s">
        <v>67</v>
      </c>
      <c r="C50" s="58"/>
      <c r="D50" s="25"/>
      <c r="E50" s="25"/>
      <c r="F50" s="25"/>
      <c r="G50" s="25"/>
      <c r="H50" s="57"/>
      <c r="I50" s="11"/>
      <c r="J50" s="55" t="s">
        <v>67</v>
      </c>
      <c r="K50" s="58"/>
      <c r="L50" s="25"/>
      <c r="M50" s="25"/>
      <c r="N50" s="25"/>
      <c r="O50" s="25"/>
      <c r="P50" s="57"/>
      <c r="Q50" s="11"/>
      <c r="R50" s="55" t="s">
        <v>67</v>
      </c>
      <c r="S50" s="58"/>
      <c r="T50" s="25"/>
      <c r="U50" s="25"/>
      <c r="V50" s="25"/>
      <c r="W50" s="25"/>
      <c r="X50" s="57"/>
      <c r="Y50" s="11"/>
      <c r="Z50" s="55" t="s">
        <v>67</v>
      </c>
      <c r="AA50" s="58"/>
      <c r="AB50" s="25"/>
      <c r="AC50" s="25"/>
      <c r="AD50" s="25"/>
      <c r="AE50" s="25"/>
      <c r="AF50" s="57"/>
      <c r="AG50" s="11"/>
      <c r="AH50" s="55" t="s">
        <v>67</v>
      </c>
      <c r="AI50" s="58"/>
      <c r="AJ50" s="25"/>
      <c r="AK50" s="25"/>
      <c r="AL50" s="25"/>
      <c r="AM50" s="25"/>
      <c r="AN50" s="57"/>
      <c r="AO50" s="11"/>
      <c r="AP50" s="55" t="s">
        <v>67</v>
      </c>
      <c r="AQ50" s="58"/>
      <c r="AR50" s="25"/>
      <c r="AS50" s="25"/>
      <c r="AT50" s="25"/>
      <c r="AU50" s="25"/>
      <c r="AV50" s="57"/>
      <c r="AW50" s="11"/>
      <c r="AX50" s="55" t="s">
        <v>67</v>
      </c>
      <c r="AY50" s="58"/>
      <c r="AZ50" s="25"/>
      <c r="BA50" s="25"/>
      <c r="BB50" s="25"/>
      <c r="BC50" s="25"/>
      <c r="BD50" s="57"/>
      <c r="BE50" s="38"/>
    </row>
    <row r="51">
      <c r="A51" s="5"/>
      <c r="B51" s="59" t="s">
        <v>74</v>
      </c>
      <c r="H51" s="40"/>
      <c r="I51" s="11"/>
      <c r="J51" s="59" t="s">
        <v>74</v>
      </c>
      <c r="P51" s="40"/>
      <c r="Q51" s="11"/>
      <c r="R51" s="59" t="s">
        <v>74</v>
      </c>
      <c r="X51" s="40"/>
      <c r="Y51" s="11"/>
      <c r="Z51" s="59" t="s">
        <v>74</v>
      </c>
      <c r="AF51" s="40"/>
      <c r="AG51" s="11"/>
      <c r="AH51" s="59" t="s">
        <v>74</v>
      </c>
      <c r="AN51" s="40"/>
      <c r="AO51" s="11"/>
      <c r="AP51" s="59" t="s">
        <v>74</v>
      </c>
      <c r="AV51" s="40"/>
      <c r="AW51" s="11"/>
      <c r="AX51" s="59" t="s">
        <v>74</v>
      </c>
      <c r="BD51" s="40"/>
      <c r="BE51" s="38"/>
    </row>
    <row r="52">
      <c r="A52" s="5"/>
      <c r="B52" s="55" t="s">
        <v>61</v>
      </c>
      <c r="C52" s="56" t="s">
        <v>75</v>
      </c>
      <c r="D52" s="25"/>
      <c r="E52" s="25"/>
      <c r="F52" s="25"/>
      <c r="G52" s="25"/>
      <c r="H52" s="57"/>
      <c r="I52" s="11"/>
      <c r="J52" s="55" t="s">
        <v>61</v>
      </c>
      <c r="K52" s="56" t="s">
        <v>76</v>
      </c>
      <c r="L52" s="25"/>
      <c r="M52" s="25"/>
      <c r="N52" s="25"/>
      <c r="O52" s="25"/>
      <c r="P52" s="57"/>
      <c r="Q52" s="11"/>
      <c r="R52" s="55" t="s">
        <v>61</v>
      </c>
      <c r="S52" s="56" t="s">
        <v>77</v>
      </c>
      <c r="T52" s="25"/>
      <c r="U52" s="25"/>
      <c r="V52" s="25"/>
      <c r="W52" s="25"/>
      <c r="X52" s="57"/>
      <c r="Y52" s="11"/>
      <c r="Z52" s="55" t="s">
        <v>61</v>
      </c>
      <c r="AA52" s="56"/>
      <c r="AB52" s="25"/>
      <c r="AC52" s="25"/>
      <c r="AD52" s="25"/>
      <c r="AE52" s="25"/>
      <c r="AF52" s="57"/>
      <c r="AG52" s="11"/>
      <c r="AH52" s="55" t="s">
        <v>61</v>
      </c>
      <c r="AI52" s="56"/>
      <c r="AJ52" s="25"/>
      <c r="AK52" s="25"/>
      <c r="AL52" s="25"/>
      <c r="AM52" s="25"/>
      <c r="AN52" s="57"/>
      <c r="AO52" s="11"/>
      <c r="AP52" s="55" t="s">
        <v>61</v>
      </c>
      <c r="AQ52" s="56"/>
      <c r="AR52" s="25"/>
      <c r="AS52" s="25"/>
      <c r="AT52" s="25"/>
      <c r="AU52" s="25"/>
      <c r="AV52" s="57"/>
      <c r="AW52" s="11"/>
      <c r="AX52" s="55" t="s">
        <v>61</v>
      </c>
      <c r="AY52" s="56"/>
      <c r="AZ52" s="25"/>
      <c r="BA52" s="25"/>
      <c r="BB52" s="25"/>
      <c r="BC52" s="25"/>
      <c r="BD52" s="57"/>
      <c r="BE52" s="38"/>
    </row>
    <row r="53">
      <c r="A53" s="5"/>
      <c r="B53" s="55" t="s">
        <v>65</v>
      </c>
      <c r="C53" s="56" t="s">
        <v>78</v>
      </c>
      <c r="D53" s="25"/>
      <c r="E53" s="25"/>
      <c r="F53" s="25"/>
      <c r="G53" s="25"/>
      <c r="H53" s="57"/>
      <c r="I53" s="11"/>
      <c r="J53" s="55" t="s">
        <v>65</v>
      </c>
      <c r="K53" s="58"/>
      <c r="L53" s="25"/>
      <c r="M53" s="25"/>
      <c r="N53" s="25"/>
      <c r="O53" s="25"/>
      <c r="P53" s="57"/>
      <c r="Q53" s="11"/>
      <c r="R53" s="55" t="s">
        <v>65</v>
      </c>
      <c r="S53" s="58"/>
      <c r="T53" s="25"/>
      <c r="U53" s="25"/>
      <c r="V53" s="25"/>
      <c r="W53" s="25"/>
      <c r="X53" s="57"/>
      <c r="Y53" s="11"/>
      <c r="Z53" s="55" t="s">
        <v>65</v>
      </c>
      <c r="AA53" s="58"/>
      <c r="AB53" s="25"/>
      <c r="AC53" s="25"/>
      <c r="AD53" s="25"/>
      <c r="AE53" s="25"/>
      <c r="AF53" s="57"/>
      <c r="AG53" s="11"/>
      <c r="AH53" s="55" t="s">
        <v>65</v>
      </c>
      <c r="AI53" s="58"/>
      <c r="AJ53" s="25"/>
      <c r="AK53" s="25"/>
      <c r="AL53" s="25"/>
      <c r="AM53" s="25"/>
      <c r="AN53" s="57"/>
      <c r="AO53" s="11"/>
      <c r="AP53" s="55" t="s">
        <v>65</v>
      </c>
      <c r="AQ53" s="58"/>
      <c r="AR53" s="25"/>
      <c r="AS53" s="25"/>
      <c r="AT53" s="25"/>
      <c r="AU53" s="25"/>
      <c r="AV53" s="57"/>
      <c r="AW53" s="11"/>
      <c r="AX53" s="55" t="s">
        <v>65</v>
      </c>
      <c r="AY53" s="58"/>
      <c r="AZ53" s="25"/>
      <c r="BA53" s="25"/>
      <c r="BB53" s="25"/>
      <c r="BC53" s="25"/>
      <c r="BD53" s="57"/>
      <c r="BE53" s="5"/>
    </row>
    <row r="54">
      <c r="A54" s="5"/>
      <c r="B54" s="55" t="s">
        <v>67</v>
      </c>
      <c r="C54" s="58"/>
      <c r="D54" s="25"/>
      <c r="E54" s="25"/>
      <c r="F54" s="25"/>
      <c r="G54" s="25"/>
      <c r="H54" s="57"/>
      <c r="I54" s="11"/>
      <c r="J54" s="55" t="s">
        <v>67</v>
      </c>
      <c r="K54" s="58"/>
      <c r="L54" s="25"/>
      <c r="M54" s="25"/>
      <c r="N54" s="25"/>
      <c r="O54" s="25"/>
      <c r="P54" s="57"/>
      <c r="Q54" s="11"/>
      <c r="R54" s="55" t="s">
        <v>67</v>
      </c>
      <c r="S54" s="58"/>
      <c r="T54" s="25"/>
      <c r="U54" s="25"/>
      <c r="V54" s="25"/>
      <c r="W54" s="25"/>
      <c r="X54" s="57"/>
      <c r="Y54" s="11"/>
      <c r="Z54" s="55" t="s">
        <v>67</v>
      </c>
      <c r="AA54" s="58"/>
      <c r="AB54" s="25"/>
      <c r="AC54" s="25"/>
      <c r="AD54" s="25"/>
      <c r="AE54" s="25"/>
      <c r="AF54" s="57"/>
      <c r="AG54" s="11"/>
      <c r="AH54" s="55" t="s">
        <v>67</v>
      </c>
      <c r="AI54" s="58"/>
      <c r="AJ54" s="25"/>
      <c r="AK54" s="25"/>
      <c r="AL54" s="25"/>
      <c r="AM54" s="25"/>
      <c r="AN54" s="57"/>
      <c r="AO54" s="11"/>
      <c r="AP54" s="55" t="s">
        <v>67</v>
      </c>
      <c r="AQ54" s="58"/>
      <c r="AR54" s="25"/>
      <c r="AS54" s="25"/>
      <c r="AT54" s="25"/>
      <c r="AU54" s="25"/>
      <c r="AV54" s="57"/>
      <c r="AW54" s="11"/>
      <c r="AX54" s="55" t="s">
        <v>67</v>
      </c>
      <c r="AY54" s="58"/>
      <c r="AZ54" s="25"/>
      <c r="BA54" s="25"/>
      <c r="BB54" s="25"/>
      <c r="BC54" s="25"/>
      <c r="BD54" s="57"/>
      <c r="BE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row>
    <row r="57" hidden="1"/>
    <row r="58" hidden="1">
      <c r="B58" s="60" t="s">
        <v>79</v>
      </c>
      <c r="C58" s="60"/>
      <c r="D58" s="60"/>
      <c r="E58" s="60" t="s">
        <v>80</v>
      </c>
      <c r="F58" s="60"/>
      <c r="G58" s="60"/>
      <c r="H58" s="60" t="s">
        <v>81</v>
      </c>
      <c r="I58" s="60"/>
      <c r="J58" s="60"/>
      <c r="K58" s="60"/>
      <c r="L58" s="60" t="s">
        <v>82</v>
      </c>
      <c r="M58" s="60"/>
      <c r="N58" s="60"/>
      <c r="O58" s="60" t="s">
        <v>83</v>
      </c>
      <c r="P58" s="60"/>
      <c r="Q58" s="60"/>
      <c r="R58" s="60"/>
      <c r="S58" s="60" t="s">
        <v>84</v>
      </c>
      <c r="T58" s="60"/>
      <c r="U58" s="60"/>
      <c r="V58" s="60" t="s">
        <v>85</v>
      </c>
      <c r="W58" s="60"/>
      <c r="Z58" s="61" t="s">
        <v>86</v>
      </c>
    </row>
    <row r="59" hidden="1">
      <c r="B59" s="60" t="s">
        <v>87</v>
      </c>
      <c r="C59" s="60" t="s">
        <v>88</v>
      </c>
      <c r="D59" s="60"/>
      <c r="E59" s="60" t="s">
        <v>87</v>
      </c>
      <c r="F59" s="60" t="s">
        <v>88</v>
      </c>
      <c r="G59" s="60"/>
      <c r="H59" s="60" t="s">
        <v>87</v>
      </c>
      <c r="I59" s="60"/>
      <c r="J59" s="60" t="s">
        <v>88</v>
      </c>
      <c r="K59" s="60"/>
      <c r="L59" s="60" t="s">
        <v>87</v>
      </c>
      <c r="M59" s="60" t="s">
        <v>88</v>
      </c>
      <c r="N59" s="60"/>
      <c r="O59" s="60" t="s">
        <v>87</v>
      </c>
      <c r="P59" s="60" t="s">
        <v>88</v>
      </c>
      <c r="Q59" s="60"/>
      <c r="R59" s="60"/>
      <c r="S59" s="60" t="s">
        <v>87</v>
      </c>
      <c r="T59" s="60" t="s">
        <v>88</v>
      </c>
      <c r="U59" s="60"/>
      <c r="V59" s="60" t="s">
        <v>87</v>
      </c>
      <c r="W59" s="60" t="s">
        <v>88</v>
      </c>
    </row>
    <row r="60" hidden="1">
      <c r="B60" s="60" t="s">
        <v>89</v>
      </c>
      <c r="C60" s="62">
        <f>COUNTIF(H25:H39,TRUE)</f>
        <v>4</v>
      </c>
      <c r="D60" s="60"/>
      <c r="E60" s="60" t="s">
        <v>89</v>
      </c>
      <c r="F60" s="62">
        <f>COUNTIF(P25:P39,TRUE)</f>
        <v>7</v>
      </c>
      <c r="G60" s="60"/>
      <c r="H60" s="60" t="s">
        <v>89</v>
      </c>
      <c r="I60" s="60"/>
      <c r="J60" s="62">
        <f>COUNTIF(X25:X39,TRUE)</f>
        <v>0</v>
      </c>
      <c r="K60" s="60"/>
      <c r="L60" s="60" t="s">
        <v>89</v>
      </c>
      <c r="M60" s="62">
        <f>COUNTIF(AF25:AF39,TRUE)</f>
        <v>0</v>
      </c>
      <c r="N60" s="60"/>
      <c r="O60" s="60" t="s">
        <v>89</v>
      </c>
      <c r="P60" s="62">
        <f>COUNTIF(AN25:AN39,TRUE)</f>
        <v>0</v>
      </c>
      <c r="Q60" s="60"/>
      <c r="R60" s="60"/>
      <c r="S60" s="60" t="s">
        <v>89</v>
      </c>
      <c r="T60" s="62">
        <f>COUNTIF(AV25:AV39,TRUE)</f>
        <v>0</v>
      </c>
      <c r="U60" s="60"/>
      <c r="V60" s="60" t="s">
        <v>89</v>
      </c>
      <c r="W60" s="62">
        <f>COUNTIF(BD25:BCW39,TRUE)</f>
        <v>0</v>
      </c>
    </row>
    <row r="61" hidden="1">
      <c r="B61" s="60" t="s">
        <v>90</v>
      </c>
      <c r="C61" s="62">
        <f>IF(COUNTA(B25:G39)-C60&lt;0,0,COUNTA(B25:G39)-C60)</f>
        <v>1</v>
      </c>
      <c r="D61" s="60"/>
      <c r="E61" s="60" t="s">
        <v>90</v>
      </c>
      <c r="F61" s="62">
        <f>IF(COUNTA(J25:O39)-F60&lt;0,0,COUNTA(J25:O39)-F60)</f>
        <v>0</v>
      </c>
      <c r="G61" s="60"/>
      <c r="H61" s="60" t="s">
        <v>90</v>
      </c>
      <c r="I61" s="60"/>
      <c r="J61" s="62">
        <f>IF(COUNTA(R25:W39)-J60&lt;0,0,COUNTA(R25:W39)-J60)</f>
        <v>5</v>
      </c>
      <c r="K61" s="60"/>
      <c r="L61" s="60" t="s">
        <v>90</v>
      </c>
      <c r="M61" s="62">
        <f>IF(COUNTA(Z25:AE39)-M60&lt;0,0,COUNTA(Z25:AE39)-M60)</f>
        <v>4</v>
      </c>
      <c r="N61" s="60"/>
      <c r="O61" s="60" t="s">
        <v>90</v>
      </c>
      <c r="P61" s="62">
        <f>IF(COUNTA(AH25:AM39)-P60&lt;0,0,COUNTA(AH25:AM39)-P60)</f>
        <v>6</v>
      </c>
      <c r="Q61" s="60"/>
      <c r="R61" s="60"/>
      <c r="S61" s="60" t="s">
        <v>90</v>
      </c>
      <c r="T61" s="62">
        <f>IF(COUNTA(AP25:AU39)-T60&lt;0,0,COUNTA(AP25:AU39)-T60)</f>
        <v>4</v>
      </c>
      <c r="U61" s="60"/>
      <c r="V61" s="60" t="s">
        <v>90</v>
      </c>
      <c r="W61" s="62">
        <f>IF(COUNTA(AX25:BC39)-W60&lt;0,0,COUNTA(AX25:BC39)-W60)</f>
        <v>6</v>
      </c>
    </row>
    <row r="62" hidden="1"/>
    <row r="63" hidden="1">
      <c r="B63" s="63" t="s">
        <v>91</v>
      </c>
      <c r="C63" s="60"/>
    </row>
    <row r="64" hidden="1">
      <c r="B64" s="60" t="s">
        <v>87</v>
      </c>
      <c r="C64" s="60" t="s">
        <v>88</v>
      </c>
    </row>
    <row r="65" hidden="1">
      <c r="B65" s="60" t="s">
        <v>89</v>
      </c>
      <c r="C65" s="64">
        <f>C60+F60+J60+M60+P60+T60+W60</f>
        <v>11</v>
      </c>
    </row>
    <row r="66" hidden="1">
      <c r="B66" s="60" t="s">
        <v>90</v>
      </c>
      <c r="C66" s="64">
        <f>COUNTA(B25:G39,J25:O39,R25:W39,Z25:AE39,AH25:AM39,AP25:AU39,AX25:BC39)-C65</f>
        <v>26</v>
      </c>
    </row>
    <row r="67" hidden="1"/>
    <row r="68" hidden="1">
      <c r="B68" s="63" t="s">
        <v>92</v>
      </c>
      <c r="C68" s="60"/>
      <c r="D68" s="60"/>
      <c r="E68" s="60"/>
    </row>
    <row r="69" hidden="1">
      <c r="B69" s="60" t="s">
        <v>93</v>
      </c>
      <c r="C69" s="60" t="s">
        <v>93</v>
      </c>
      <c r="D69" s="60" t="s">
        <v>89</v>
      </c>
      <c r="E69" s="60" t="s">
        <v>90</v>
      </c>
    </row>
    <row r="70" hidden="1">
      <c r="B70" s="60" t="s">
        <v>79</v>
      </c>
      <c r="C70" s="60" t="str">
        <f>TEXT(B15,"ddd")</f>
        <v>Sun</v>
      </c>
      <c r="D70" s="64">
        <f>C60</f>
        <v>4</v>
      </c>
      <c r="E70" s="64">
        <f>C61</f>
        <v>1</v>
      </c>
    </row>
    <row r="71" hidden="1">
      <c r="B71" s="60" t="s">
        <v>80</v>
      </c>
      <c r="C71" s="60" t="str">
        <f>TEXT(J15,"ddd")</f>
        <v>Mon</v>
      </c>
      <c r="D71" s="64">
        <f>F60</f>
        <v>7</v>
      </c>
      <c r="E71" s="64">
        <f>F61</f>
        <v>0</v>
      </c>
    </row>
    <row r="72" hidden="1">
      <c r="B72" s="60" t="s">
        <v>81</v>
      </c>
      <c r="C72" s="60" t="str">
        <f>TEXT(R15,"ddd")</f>
        <v>Tue</v>
      </c>
      <c r="D72" s="64">
        <f>J60</f>
        <v>0</v>
      </c>
      <c r="E72" s="64">
        <f>J61</f>
        <v>5</v>
      </c>
    </row>
    <row r="73" hidden="1">
      <c r="B73" s="60" t="s">
        <v>82</v>
      </c>
      <c r="C73" s="60" t="str">
        <f>TEXT(Z15,"ddd")</f>
        <v>Wed</v>
      </c>
      <c r="D73" s="64">
        <f>M60</f>
        <v>0</v>
      </c>
      <c r="E73" s="64">
        <f>M61</f>
        <v>4</v>
      </c>
    </row>
    <row r="74" hidden="1">
      <c r="B74" s="60" t="s">
        <v>83</v>
      </c>
      <c r="C74" s="60" t="str">
        <f>TEXT(AH15,"ddd")</f>
        <v>Thu</v>
      </c>
      <c r="D74" s="64">
        <f>P60</f>
        <v>0</v>
      </c>
      <c r="E74" s="64">
        <f>P61</f>
        <v>6</v>
      </c>
    </row>
    <row r="75" hidden="1">
      <c r="B75" s="60" t="s">
        <v>84</v>
      </c>
      <c r="C75" s="60" t="str">
        <f>TEXT(AP15,"ddd")</f>
        <v>Fri</v>
      </c>
      <c r="D75" s="64">
        <f>T60</f>
        <v>0</v>
      </c>
      <c r="E75" s="64">
        <f>T61</f>
        <v>4</v>
      </c>
    </row>
    <row r="76" hidden="1">
      <c r="B76" s="60" t="s">
        <v>85</v>
      </c>
      <c r="C76" s="60" t="str">
        <f>TEXT(AX15,"ddd")</f>
        <v>Sat</v>
      </c>
      <c r="D76" s="64">
        <f>W60</f>
        <v>0</v>
      </c>
      <c r="E76" s="64">
        <f>W61</f>
        <v>6</v>
      </c>
    </row>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mergeCells count="278">
    <mergeCell ref="AP37:AU37"/>
    <mergeCell ref="AP38:AU38"/>
    <mergeCell ref="AP30:AU30"/>
    <mergeCell ref="AP31:AU31"/>
    <mergeCell ref="AP32:AU32"/>
    <mergeCell ref="AP33:AU33"/>
    <mergeCell ref="AP34:AU34"/>
    <mergeCell ref="AP35:AU35"/>
    <mergeCell ref="AP36:AU36"/>
    <mergeCell ref="Z24:AF24"/>
    <mergeCell ref="Z25:AE25"/>
    <mergeCell ref="R26:W26"/>
    <mergeCell ref="AH26:AM26"/>
    <mergeCell ref="AX26:BC26"/>
    <mergeCell ref="AH27:AM27"/>
    <mergeCell ref="AX27:BC27"/>
    <mergeCell ref="R27:W27"/>
    <mergeCell ref="R28:W28"/>
    <mergeCell ref="Z28:AE28"/>
    <mergeCell ref="AH28:AM28"/>
    <mergeCell ref="R29:W29"/>
    <mergeCell ref="AH29:AM29"/>
    <mergeCell ref="AH30:AM30"/>
    <mergeCell ref="AP26:AU26"/>
    <mergeCell ref="AP27:AU27"/>
    <mergeCell ref="AP28:AU28"/>
    <mergeCell ref="AX28:BC28"/>
    <mergeCell ref="AP29:AU29"/>
    <mergeCell ref="AX29:BC29"/>
    <mergeCell ref="AX30:BC30"/>
    <mergeCell ref="R30:W30"/>
    <mergeCell ref="R31:W31"/>
    <mergeCell ref="R32:W32"/>
    <mergeCell ref="R33:W33"/>
    <mergeCell ref="R34:W34"/>
    <mergeCell ref="R35:W35"/>
    <mergeCell ref="R36:W36"/>
    <mergeCell ref="AH38:AM38"/>
    <mergeCell ref="AH39:AM39"/>
    <mergeCell ref="AP39:AU39"/>
    <mergeCell ref="AH31:AM31"/>
    <mergeCell ref="AH32:AM32"/>
    <mergeCell ref="AH33:AM33"/>
    <mergeCell ref="AH34:AM34"/>
    <mergeCell ref="AH35:AM35"/>
    <mergeCell ref="AH36:AM36"/>
    <mergeCell ref="AH37:AM37"/>
    <mergeCell ref="Z40:AD40"/>
    <mergeCell ref="AE40:AF40"/>
    <mergeCell ref="AH40:AL40"/>
    <mergeCell ref="AM40:AN40"/>
    <mergeCell ref="AP40:AT40"/>
    <mergeCell ref="AU40:AV40"/>
    <mergeCell ref="AX40:BB40"/>
    <mergeCell ref="J47:P47"/>
    <mergeCell ref="K48:P48"/>
    <mergeCell ref="B43:H43"/>
    <mergeCell ref="C44:H44"/>
    <mergeCell ref="C45:H45"/>
    <mergeCell ref="C46:H46"/>
    <mergeCell ref="K46:P46"/>
    <mergeCell ref="B47:H47"/>
    <mergeCell ref="C48:H48"/>
    <mergeCell ref="C52:H52"/>
    <mergeCell ref="C53:H53"/>
    <mergeCell ref="C54:H54"/>
    <mergeCell ref="C49:H49"/>
    <mergeCell ref="K49:P49"/>
    <mergeCell ref="C50:H50"/>
    <mergeCell ref="K50:P50"/>
    <mergeCell ref="B51:H51"/>
    <mergeCell ref="J51:P51"/>
    <mergeCell ref="K52:P52"/>
    <mergeCell ref="B2:K9"/>
    <mergeCell ref="B10:F11"/>
    <mergeCell ref="G10:K11"/>
    <mergeCell ref="B13:H14"/>
    <mergeCell ref="J13:P14"/>
    <mergeCell ref="B15:H15"/>
    <mergeCell ref="B16:H22"/>
    <mergeCell ref="B25:G25"/>
    <mergeCell ref="J25:O25"/>
    <mergeCell ref="B26:G26"/>
    <mergeCell ref="J26:O26"/>
    <mergeCell ref="B27:G27"/>
    <mergeCell ref="J27:O27"/>
    <mergeCell ref="J28:O28"/>
    <mergeCell ref="B28:G28"/>
    <mergeCell ref="B29:G29"/>
    <mergeCell ref="B30:G30"/>
    <mergeCell ref="B31:G31"/>
    <mergeCell ref="B32:G32"/>
    <mergeCell ref="B33:G33"/>
    <mergeCell ref="B34:G34"/>
    <mergeCell ref="J29:O29"/>
    <mergeCell ref="J30:O30"/>
    <mergeCell ref="J31:O31"/>
    <mergeCell ref="J32:O32"/>
    <mergeCell ref="J33:O33"/>
    <mergeCell ref="J34:O34"/>
    <mergeCell ref="J35:O35"/>
    <mergeCell ref="B41:F41"/>
    <mergeCell ref="G41:H41"/>
    <mergeCell ref="J41:N41"/>
    <mergeCell ref="O41:P41"/>
    <mergeCell ref="B35:G35"/>
    <mergeCell ref="B36:G36"/>
    <mergeCell ref="B37:G37"/>
    <mergeCell ref="B38:G38"/>
    <mergeCell ref="B39:G39"/>
    <mergeCell ref="B40:F40"/>
    <mergeCell ref="G40:H40"/>
    <mergeCell ref="K53:P53"/>
    <mergeCell ref="K54:P54"/>
    <mergeCell ref="R51:X51"/>
    <mergeCell ref="Z51:AF51"/>
    <mergeCell ref="AH51:AN51"/>
    <mergeCell ref="AP51:AV51"/>
    <mergeCell ref="AA52:AF52"/>
    <mergeCell ref="AI52:AN52"/>
    <mergeCell ref="AQ52:AV52"/>
    <mergeCell ref="S52:X52"/>
    <mergeCell ref="S53:X53"/>
    <mergeCell ref="AA53:AF53"/>
    <mergeCell ref="AI53:AN53"/>
    <mergeCell ref="S54:X54"/>
    <mergeCell ref="AA54:AF54"/>
    <mergeCell ref="AI54:AN54"/>
    <mergeCell ref="R41:V41"/>
    <mergeCell ref="W41:X41"/>
    <mergeCell ref="Z41:AD41"/>
    <mergeCell ref="AE41:AF41"/>
    <mergeCell ref="AH41:AL41"/>
    <mergeCell ref="AM41:AN41"/>
    <mergeCell ref="AP41:AT41"/>
    <mergeCell ref="AU41:AV41"/>
    <mergeCell ref="R37:W37"/>
    <mergeCell ref="R38:W38"/>
    <mergeCell ref="Z38:AE38"/>
    <mergeCell ref="R39:W39"/>
    <mergeCell ref="Z39:AE39"/>
    <mergeCell ref="R40:V40"/>
    <mergeCell ref="W40:X40"/>
    <mergeCell ref="R43:X43"/>
    <mergeCell ref="Z43:AF43"/>
    <mergeCell ref="AH43:AN43"/>
    <mergeCell ref="AP43:AV43"/>
    <mergeCell ref="AA44:AF44"/>
    <mergeCell ref="AI44:AN44"/>
    <mergeCell ref="AQ44:AV44"/>
    <mergeCell ref="AQ45:AV45"/>
    <mergeCell ref="AQ46:AV46"/>
    <mergeCell ref="S44:X44"/>
    <mergeCell ref="S45:X45"/>
    <mergeCell ref="AA45:AF45"/>
    <mergeCell ref="AI45:AN45"/>
    <mergeCell ref="S46:X46"/>
    <mergeCell ref="AA46:AF46"/>
    <mergeCell ref="AI46:AN46"/>
    <mergeCell ref="AQ49:AV49"/>
    <mergeCell ref="AQ50:AV50"/>
    <mergeCell ref="AQ53:AV53"/>
    <mergeCell ref="AQ54:AV54"/>
    <mergeCell ref="AW4:BB4"/>
    <mergeCell ref="BC4:BD4"/>
    <mergeCell ref="AJ5:AO5"/>
    <mergeCell ref="AW5:BB5"/>
    <mergeCell ref="AJ4:AO4"/>
    <mergeCell ref="AJ6:AO6"/>
    <mergeCell ref="AW6:BB6"/>
    <mergeCell ref="BC6:BD6"/>
    <mergeCell ref="AJ7:AO7"/>
    <mergeCell ref="AW7:BB7"/>
    <mergeCell ref="AW8:BB8"/>
    <mergeCell ref="BC8:BD8"/>
    <mergeCell ref="AJ9:AO9"/>
    <mergeCell ref="AW9:BB9"/>
    <mergeCell ref="AP24:AV24"/>
    <mergeCell ref="AP25:AU25"/>
    <mergeCell ref="B24:H24"/>
    <mergeCell ref="J24:P24"/>
    <mergeCell ref="R24:X24"/>
    <mergeCell ref="AH24:AN24"/>
    <mergeCell ref="AX24:BD24"/>
    <mergeCell ref="R25:W25"/>
    <mergeCell ref="AH25:AM25"/>
    <mergeCell ref="AX25:BC25"/>
    <mergeCell ref="AJ3:AO3"/>
    <mergeCell ref="AJ8:AO8"/>
    <mergeCell ref="AJ11:AO11"/>
    <mergeCell ref="M2:AH2"/>
    <mergeCell ref="AJ2:BD2"/>
    <mergeCell ref="AB3:AH9"/>
    <mergeCell ref="AW3:BD3"/>
    <mergeCell ref="BC5:BD5"/>
    <mergeCell ref="BC7:BD7"/>
    <mergeCell ref="BC9:BD9"/>
    <mergeCell ref="AH13:AN14"/>
    <mergeCell ref="AP13:AV14"/>
    <mergeCell ref="AH15:AN15"/>
    <mergeCell ref="AP15:AV15"/>
    <mergeCell ref="AX15:BD15"/>
    <mergeCell ref="AB10:AH10"/>
    <mergeCell ref="AJ10:AO10"/>
    <mergeCell ref="AW10:BB10"/>
    <mergeCell ref="BC10:BD10"/>
    <mergeCell ref="AW11:BB11"/>
    <mergeCell ref="BC11:BD11"/>
    <mergeCell ref="Z13:AF14"/>
    <mergeCell ref="AX13:BD14"/>
    <mergeCell ref="R13:X14"/>
    <mergeCell ref="R15:X15"/>
    <mergeCell ref="Z15:AF15"/>
    <mergeCell ref="J15:P15"/>
    <mergeCell ref="J16:P22"/>
    <mergeCell ref="R16:X22"/>
    <mergeCell ref="Z16:AF22"/>
    <mergeCell ref="AH16:AN22"/>
    <mergeCell ref="AP16:AV22"/>
    <mergeCell ref="AX16:BD22"/>
    <mergeCell ref="Z26:AE26"/>
    <mergeCell ref="Z27:AE27"/>
    <mergeCell ref="Z36:AE36"/>
    <mergeCell ref="Z37:AE37"/>
    <mergeCell ref="Z29:AE29"/>
    <mergeCell ref="Z30:AE30"/>
    <mergeCell ref="Z31:AE31"/>
    <mergeCell ref="Z32:AE32"/>
    <mergeCell ref="Z33:AE33"/>
    <mergeCell ref="Z34:AE34"/>
    <mergeCell ref="Z35:AE35"/>
    <mergeCell ref="AX31:BC31"/>
    <mergeCell ref="AX32:BC32"/>
    <mergeCell ref="AX33:BC33"/>
    <mergeCell ref="AX34:BC34"/>
    <mergeCell ref="AX35:BC35"/>
    <mergeCell ref="AX36:BC36"/>
    <mergeCell ref="AX37:BC37"/>
    <mergeCell ref="AX38:BC38"/>
    <mergeCell ref="AX39:BC39"/>
    <mergeCell ref="BC40:BD40"/>
    <mergeCell ref="AX41:BB41"/>
    <mergeCell ref="BC41:BD41"/>
    <mergeCell ref="AX43:BD43"/>
    <mergeCell ref="AY44:BD44"/>
    <mergeCell ref="AY52:BD52"/>
    <mergeCell ref="AY53:BD53"/>
    <mergeCell ref="AY54:BD54"/>
    <mergeCell ref="AY45:BD45"/>
    <mergeCell ref="AY46:BD46"/>
    <mergeCell ref="AX47:BD47"/>
    <mergeCell ref="AY48:BD48"/>
    <mergeCell ref="AY49:BD49"/>
    <mergeCell ref="AY50:BD50"/>
    <mergeCell ref="AX51:BD51"/>
    <mergeCell ref="K44:P44"/>
    <mergeCell ref="K45:P45"/>
    <mergeCell ref="J36:O36"/>
    <mergeCell ref="J37:O37"/>
    <mergeCell ref="J38:O38"/>
    <mergeCell ref="J39:O39"/>
    <mergeCell ref="J40:N40"/>
    <mergeCell ref="O40:P40"/>
    <mergeCell ref="J43:P43"/>
    <mergeCell ref="R47:X47"/>
    <mergeCell ref="Z47:AF47"/>
    <mergeCell ref="AH47:AN47"/>
    <mergeCell ref="AP47:AV47"/>
    <mergeCell ref="AA48:AF48"/>
    <mergeCell ref="AI48:AN48"/>
    <mergeCell ref="AQ48:AV48"/>
    <mergeCell ref="S48:X48"/>
    <mergeCell ref="S49:X49"/>
    <mergeCell ref="AA49:AF49"/>
    <mergeCell ref="AI49:AN49"/>
    <mergeCell ref="S50:X50"/>
    <mergeCell ref="AA50:AF50"/>
    <mergeCell ref="AI50:AN50"/>
  </mergeCells>
  <conditionalFormatting sqref="H25:H39 P25:P39 X25:X39 AF25:AF39 AN25:AN39 AV25:AV39 BD25:BD39">
    <cfRule type="expression" dxfId="0" priority="1">
      <formula>ISBLANK(B25)</formula>
    </cfRule>
  </conditionalFormatting>
  <conditionalFormatting sqref="B25:H39">
    <cfRule type="expression" dxfId="1" priority="2">
      <formula>$H25=TRUE</formula>
    </cfRule>
  </conditionalFormatting>
  <conditionalFormatting sqref="J25:P39">
    <cfRule type="expression" dxfId="1" priority="3">
      <formula>$P25=TRUE</formula>
    </cfRule>
  </conditionalFormatting>
  <conditionalFormatting sqref="R25:X39">
    <cfRule type="expression" dxfId="1" priority="4">
      <formula>$X25=TRUE</formula>
    </cfRule>
  </conditionalFormatting>
  <conditionalFormatting sqref="Z25:AF39">
    <cfRule type="expression" dxfId="1" priority="5">
      <formula>$AF25=TRUE</formula>
    </cfRule>
  </conditionalFormatting>
  <conditionalFormatting sqref="AH25:AN39">
    <cfRule type="expression" dxfId="1" priority="6">
      <formula>$AN25=TRUE</formula>
    </cfRule>
  </conditionalFormatting>
  <conditionalFormatting sqref="AP25:AV39">
    <cfRule type="expression" dxfId="1" priority="7">
      <formula>$AV25=TRUE</formula>
    </cfRule>
  </conditionalFormatting>
  <conditionalFormatting sqref="AX25:BD39">
    <cfRule type="expression" dxfId="1" priority="8">
      <formula>$BD25=TRUE</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8" width="3.63"/>
    <col customWidth="1" min="9" max="9" width="1.38"/>
    <col customWidth="1" min="10" max="16" width="3.63"/>
    <col customWidth="1" min="17" max="17" width="1.38"/>
    <col customWidth="1" min="18" max="24" width="3.63"/>
    <col customWidth="1" min="25" max="25" width="1.38"/>
    <col customWidth="1" min="26" max="32" width="3.63"/>
    <col customWidth="1" min="33" max="33" width="1.38"/>
    <col customWidth="1" min="34" max="40" width="3.63"/>
    <col customWidth="1" min="41" max="41" width="1.38"/>
    <col customWidth="1" min="42" max="48" width="3.88"/>
    <col customWidth="1" min="49" max="49" width="1.38"/>
    <col customWidth="1" min="50" max="57" width="3.63"/>
  </cols>
  <sheetData>
    <row r="1">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row>
    <row r="2">
      <c r="A2" s="5"/>
      <c r="B2" s="6" t="s">
        <v>6</v>
      </c>
      <c r="L2" s="7"/>
      <c r="M2" s="8" t="s">
        <v>7</v>
      </c>
      <c r="N2" s="9"/>
      <c r="O2" s="9"/>
      <c r="P2" s="9"/>
      <c r="Q2" s="9"/>
      <c r="R2" s="9"/>
      <c r="S2" s="9"/>
      <c r="T2" s="9"/>
      <c r="U2" s="9"/>
      <c r="V2" s="9"/>
      <c r="W2" s="9"/>
      <c r="X2" s="9"/>
      <c r="Y2" s="9"/>
      <c r="Z2" s="9"/>
      <c r="AA2" s="9"/>
      <c r="AB2" s="9"/>
      <c r="AC2" s="9"/>
      <c r="AD2" s="9"/>
      <c r="AE2" s="9"/>
      <c r="AF2" s="9"/>
      <c r="AG2" s="9"/>
      <c r="AH2" s="10"/>
      <c r="AI2" s="11"/>
      <c r="AJ2" s="12" t="s">
        <v>8</v>
      </c>
      <c r="BE2" s="5"/>
    </row>
    <row r="3">
      <c r="A3" s="5"/>
      <c r="L3" s="7"/>
      <c r="M3" s="13"/>
      <c r="N3" s="14"/>
      <c r="O3" s="14"/>
      <c r="P3" s="14"/>
      <c r="Q3" s="14"/>
      <c r="R3" s="14"/>
      <c r="S3" s="14"/>
      <c r="T3" s="14"/>
      <c r="U3" s="14"/>
      <c r="V3" s="14"/>
      <c r="W3" s="14"/>
      <c r="X3" s="14"/>
      <c r="Y3" s="14"/>
      <c r="Z3" s="14"/>
      <c r="AA3" s="14"/>
      <c r="AB3" s="15" t="str">
        <f>C65/(C66+C65)</f>
        <v>#DIV/0!</v>
      </c>
      <c r="AH3" s="16"/>
      <c r="AI3" s="11"/>
      <c r="AJ3" s="17" t="s">
        <v>9</v>
      </c>
      <c r="AK3" s="18"/>
      <c r="AL3" s="18"/>
      <c r="AM3" s="18"/>
      <c r="AN3" s="18"/>
      <c r="AO3" s="19"/>
      <c r="AP3" s="20" t="str">
        <f>TEXT(B15,"ddd")</f>
        <v>Sat</v>
      </c>
      <c r="AQ3" s="20" t="str">
        <f>TEXT(J15,"ddd")</f>
        <v>Sun</v>
      </c>
      <c r="AR3" s="20" t="str">
        <f>TEXT(R15,"ddd")</f>
        <v>Mon</v>
      </c>
      <c r="AS3" s="20" t="str">
        <f>TEXT(Z15,"ddd")</f>
        <v>Tue</v>
      </c>
      <c r="AT3" s="20" t="str">
        <f>TEXT(AH15,"ddd")</f>
        <v>Wed</v>
      </c>
      <c r="AU3" s="20" t="str">
        <f>TEXT(AP15,"ddd")</f>
        <v>Thu</v>
      </c>
      <c r="AV3" s="20" t="str">
        <f>TEXT(AX15,"ddd")</f>
        <v>Fri</v>
      </c>
      <c r="AW3" s="17" t="s">
        <v>10</v>
      </c>
      <c r="AX3" s="18"/>
      <c r="AY3" s="18"/>
      <c r="AZ3" s="18"/>
      <c r="BA3" s="18"/>
      <c r="BB3" s="18"/>
      <c r="BC3" s="18"/>
      <c r="BD3" s="19"/>
      <c r="BE3" s="5"/>
    </row>
    <row r="4">
      <c r="A4" s="5"/>
      <c r="L4" s="7"/>
      <c r="M4" s="13"/>
      <c r="N4" s="14"/>
      <c r="O4" s="14"/>
      <c r="P4" s="14"/>
      <c r="Q4" s="14"/>
      <c r="R4" s="14"/>
      <c r="S4" s="14"/>
      <c r="T4" s="14"/>
      <c r="U4" s="14"/>
      <c r="V4" s="14"/>
      <c r="W4" s="14"/>
      <c r="X4" s="14"/>
      <c r="Y4" s="14"/>
      <c r="Z4" s="14"/>
      <c r="AA4" s="14"/>
      <c r="AH4" s="16"/>
      <c r="AI4" s="11"/>
      <c r="AJ4" s="21"/>
      <c r="AK4" s="18"/>
      <c r="AL4" s="18"/>
      <c r="AM4" s="18"/>
      <c r="AN4" s="18"/>
      <c r="AO4" s="19"/>
      <c r="AP4" s="22" t="b">
        <v>0</v>
      </c>
      <c r="AQ4" s="22" t="b">
        <v>0</v>
      </c>
      <c r="AR4" s="22" t="b">
        <v>0</v>
      </c>
      <c r="AS4" s="22" t="b">
        <v>0</v>
      </c>
      <c r="AT4" s="22" t="b">
        <v>0</v>
      </c>
      <c r="AU4" s="22" t="b">
        <v>0</v>
      </c>
      <c r="AV4" s="22" t="b">
        <v>0</v>
      </c>
      <c r="AW4" s="23" t="str">
        <f>IFERROR(__xludf.DUMMYFUNCTION("SPARKLINE(COUNTIF(AP4:AV4,TRUE),{""charttype"",""bar"";""max"",7;""color1"",""#a61c00"";""empty"",""ignore""})"),"")</f>
        <v/>
      </c>
      <c r="AX4" s="18"/>
      <c r="AY4" s="18"/>
      <c r="AZ4" s="18"/>
      <c r="BA4" s="18"/>
      <c r="BB4" s="19"/>
      <c r="BC4" s="24">
        <f t="shared" ref="BC4:BC11" si="1">IF(COUNTIF(AP4:AV4,TRUE)/7=1,""&amp;$Z$58,COUNTIF(AP4:AV4,TRUE)/7)</f>
        <v>0</v>
      </c>
      <c r="BD4" s="19"/>
      <c r="BE4" s="5"/>
    </row>
    <row r="5">
      <c r="A5" s="5"/>
      <c r="L5" s="7"/>
      <c r="M5" s="13"/>
      <c r="N5" s="14"/>
      <c r="O5" s="14"/>
      <c r="P5" s="14"/>
      <c r="Q5" s="14"/>
      <c r="R5" s="14"/>
      <c r="S5" s="14"/>
      <c r="T5" s="14"/>
      <c r="U5" s="14"/>
      <c r="V5" s="14"/>
      <c r="W5" s="14"/>
      <c r="X5" s="14"/>
      <c r="Y5" s="14"/>
      <c r="Z5" s="14"/>
      <c r="AA5" s="14"/>
      <c r="AH5" s="16"/>
      <c r="AI5" s="11"/>
      <c r="AJ5" s="21"/>
      <c r="AK5" s="18"/>
      <c r="AL5" s="18"/>
      <c r="AM5" s="18"/>
      <c r="AN5" s="18"/>
      <c r="AO5" s="19"/>
      <c r="AP5" s="22" t="b">
        <v>0</v>
      </c>
      <c r="AQ5" s="22" t="b">
        <v>0</v>
      </c>
      <c r="AR5" s="22" t="b">
        <v>0</v>
      </c>
      <c r="AS5" s="22" t="b">
        <v>0</v>
      </c>
      <c r="AT5" s="22" t="b">
        <v>0</v>
      </c>
      <c r="AU5" s="22" t="b">
        <v>0</v>
      </c>
      <c r="AV5" s="22" t="b">
        <v>0</v>
      </c>
      <c r="AW5" s="23" t="str">
        <f>IFERROR(__xludf.DUMMYFUNCTION("SPARKLINE(COUNTIF(AP5:AV5,TRUE),{""charttype"",""bar"";""max"",7;""color1"",""#a61c00"";""empty"",""ignore""})"),"")</f>
        <v/>
      </c>
      <c r="AX5" s="18"/>
      <c r="AY5" s="18"/>
      <c r="AZ5" s="18"/>
      <c r="BA5" s="18"/>
      <c r="BB5" s="19"/>
      <c r="BC5" s="24">
        <f t="shared" si="1"/>
        <v>0</v>
      </c>
      <c r="BD5" s="19"/>
      <c r="BE5" s="5"/>
    </row>
    <row r="6">
      <c r="A6" s="5"/>
      <c r="L6" s="7"/>
      <c r="M6" s="13"/>
      <c r="N6" s="14"/>
      <c r="O6" s="14"/>
      <c r="P6" s="14"/>
      <c r="Q6" s="14"/>
      <c r="R6" s="14"/>
      <c r="S6" s="14"/>
      <c r="T6" s="14"/>
      <c r="U6" s="14"/>
      <c r="V6" s="14"/>
      <c r="W6" s="14"/>
      <c r="X6" s="14"/>
      <c r="Y6" s="14"/>
      <c r="Z6" s="14"/>
      <c r="AA6" s="14"/>
      <c r="AH6" s="16"/>
      <c r="AI6" s="11"/>
      <c r="AJ6" s="21"/>
      <c r="AK6" s="18"/>
      <c r="AL6" s="18"/>
      <c r="AM6" s="18"/>
      <c r="AN6" s="18"/>
      <c r="AO6" s="19"/>
      <c r="AP6" s="22" t="b">
        <v>0</v>
      </c>
      <c r="AQ6" s="22" t="b">
        <v>0</v>
      </c>
      <c r="AR6" s="22" t="b">
        <v>0</v>
      </c>
      <c r="AS6" s="22" t="b">
        <v>0</v>
      </c>
      <c r="AT6" s="22" t="b">
        <v>0</v>
      </c>
      <c r="AU6" s="22" t="b">
        <v>0</v>
      </c>
      <c r="AV6" s="22" t="b">
        <v>0</v>
      </c>
      <c r="AW6" s="23" t="str">
        <f>IFERROR(__xludf.DUMMYFUNCTION("SPARKLINE(COUNTIF(AP6:AV6,TRUE),{""charttype"",""bar"";""max"",7;""color1"",""#a61c00"";""empty"",""ignore""})"),"")</f>
        <v/>
      </c>
      <c r="AX6" s="18"/>
      <c r="AY6" s="18"/>
      <c r="AZ6" s="18"/>
      <c r="BA6" s="18"/>
      <c r="BB6" s="19"/>
      <c r="BC6" s="24">
        <f t="shared" si="1"/>
        <v>0</v>
      </c>
      <c r="BD6" s="19"/>
      <c r="BE6" s="5"/>
    </row>
    <row r="7">
      <c r="A7" s="5"/>
      <c r="L7" s="7"/>
      <c r="M7" s="13"/>
      <c r="N7" s="14"/>
      <c r="O7" s="14"/>
      <c r="P7" s="14"/>
      <c r="Q7" s="14"/>
      <c r="R7" s="14"/>
      <c r="S7" s="14"/>
      <c r="T7" s="14"/>
      <c r="U7" s="14"/>
      <c r="V7" s="14"/>
      <c r="W7" s="14"/>
      <c r="X7" s="14"/>
      <c r="Y7" s="14"/>
      <c r="Z7" s="14"/>
      <c r="AA7" s="14"/>
      <c r="AH7" s="16"/>
      <c r="AI7" s="11"/>
      <c r="AJ7" s="21"/>
      <c r="AK7" s="18"/>
      <c r="AL7" s="18"/>
      <c r="AM7" s="18"/>
      <c r="AN7" s="18"/>
      <c r="AO7" s="19"/>
      <c r="AP7" s="22" t="b">
        <v>0</v>
      </c>
      <c r="AQ7" s="22" t="b">
        <v>0</v>
      </c>
      <c r="AR7" s="22" t="b">
        <v>0</v>
      </c>
      <c r="AS7" s="22" t="b">
        <v>0</v>
      </c>
      <c r="AT7" s="22" t="b">
        <v>0</v>
      </c>
      <c r="AU7" s="22" t="b">
        <v>0</v>
      </c>
      <c r="AV7" s="22" t="b">
        <v>0</v>
      </c>
      <c r="AW7" s="23" t="str">
        <f>IFERROR(__xludf.DUMMYFUNCTION("SPARKLINE(COUNTIF(AP7:AV7,TRUE),{""charttype"",""bar"";""max"",7;""color1"",""#a61c00"";""empty"",""ignore""})"),"")</f>
        <v/>
      </c>
      <c r="AX7" s="18"/>
      <c r="AY7" s="18"/>
      <c r="AZ7" s="18"/>
      <c r="BA7" s="18"/>
      <c r="BB7" s="19"/>
      <c r="BC7" s="24">
        <f t="shared" si="1"/>
        <v>0</v>
      </c>
      <c r="BD7" s="19"/>
      <c r="BE7" s="5"/>
    </row>
    <row r="8">
      <c r="A8" s="5"/>
      <c r="L8" s="7"/>
      <c r="M8" s="13"/>
      <c r="N8" s="14"/>
      <c r="O8" s="14"/>
      <c r="P8" s="14"/>
      <c r="Q8" s="14"/>
      <c r="R8" s="14"/>
      <c r="S8" s="14"/>
      <c r="T8" s="14"/>
      <c r="U8" s="14"/>
      <c r="V8" s="14"/>
      <c r="W8" s="14"/>
      <c r="X8" s="14"/>
      <c r="Y8" s="14"/>
      <c r="Z8" s="14"/>
      <c r="AA8" s="14"/>
      <c r="AH8" s="16"/>
      <c r="AI8" s="11"/>
      <c r="AJ8" s="21"/>
      <c r="AK8" s="18"/>
      <c r="AL8" s="18"/>
      <c r="AM8" s="18"/>
      <c r="AN8" s="18"/>
      <c r="AO8" s="19"/>
      <c r="AP8" s="22" t="b">
        <v>0</v>
      </c>
      <c r="AQ8" s="22" t="b">
        <v>0</v>
      </c>
      <c r="AR8" s="22" t="b">
        <v>0</v>
      </c>
      <c r="AS8" s="22" t="b">
        <v>0</v>
      </c>
      <c r="AT8" s="22" t="b">
        <v>0</v>
      </c>
      <c r="AU8" s="22" t="b">
        <v>0</v>
      </c>
      <c r="AV8" s="22" t="b">
        <v>0</v>
      </c>
      <c r="AW8" s="23" t="str">
        <f>IFERROR(__xludf.DUMMYFUNCTION("SPARKLINE(COUNTIF(AP8:AV8,TRUE),{""charttype"",""bar"";""max"",7;""color1"",""#a61c00"";""empty"",""ignore""})"),"")</f>
        <v/>
      </c>
      <c r="AX8" s="18"/>
      <c r="AY8" s="18"/>
      <c r="AZ8" s="18"/>
      <c r="BA8" s="18"/>
      <c r="BB8" s="19"/>
      <c r="BC8" s="24">
        <f t="shared" si="1"/>
        <v>0</v>
      </c>
      <c r="BD8" s="19"/>
      <c r="BE8" s="5"/>
    </row>
    <row r="9">
      <c r="A9" s="5"/>
      <c r="B9" s="25"/>
      <c r="C9" s="25"/>
      <c r="D9" s="25"/>
      <c r="E9" s="25"/>
      <c r="F9" s="25"/>
      <c r="G9" s="25"/>
      <c r="H9" s="25"/>
      <c r="I9" s="25"/>
      <c r="J9" s="25"/>
      <c r="K9" s="25"/>
      <c r="L9" s="7"/>
      <c r="M9" s="13"/>
      <c r="N9" s="14"/>
      <c r="O9" s="14"/>
      <c r="P9" s="14"/>
      <c r="Q9" s="14"/>
      <c r="R9" s="14"/>
      <c r="S9" s="14"/>
      <c r="T9" s="14"/>
      <c r="U9" s="14"/>
      <c r="V9" s="14"/>
      <c r="W9" s="14"/>
      <c r="X9" s="14"/>
      <c r="Y9" s="14"/>
      <c r="Z9" s="14"/>
      <c r="AA9" s="14"/>
      <c r="AH9" s="16"/>
      <c r="AI9" s="11"/>
      <c r="AJ9" s="21"/>
      <c r="AK9" s="18"/>
      <c r="AL9" s="18"/>
      <c r="AM9" s="18"/>
      <c r="AN9" s="18"/>
      <c r="AO9" s="19"/>
      <c r="AP9" s="22" t="b">
        <v>0</v>
      </c>
      <c r="AQ9" s="26" t="b">
        <v>0</v>
      </c>
      <c r="AR9" s="22" t="b">
        <v>0</v>
      </c>
      <c r="AS9" s="26" t="b">
        <v>0</v>
      </c>
      <c r="AT9" s="22" t="b">
        <v>0</v>
      </c>
      <c r="AU9" s="22" t="b">
        <v>0</v>
      </c>
      <c r="AV9" s="26" t="b">
        <v>0</v>
      </c>
      <c r="AW9" s="23" t="str">
        <f>IFERROR(__xludf.DUMMYFUNCTION("SPARKLINE(COUNTIF(AP9:AV9,TRUE),{""charttype"",""bar"";""max"",7;""color1"",""#a61c00"";""empty"",""ignore""})"),"")</f>
        <v/>
      </c>
      <c r="AX9" s="18"/>
      <c r="AY9" s="18"/>
      <c r="AZ9" s="18"/>
      <c r="BA9" s="18"/>
      <c r="BB9" s="19"/>
      <c r="BC9" s="24">
        <f t="shared" si="1"/>
        <v>0</v>
      </c>
      <c r="BD9" s="19"/>
      <c r="BE9" s="5"/>
    </row>
    <row r="10">
      <c r="A10" s="5"/>
      <c r="B10" s="27" t="s">
        <v>17</v>
      </c>
      <c r="G10" s="28"/>
      <c r="L10" s="29"/>
      <c r="M10" s="13"/>
      <c r="N10" s="14"/>
      <c r="O10" s="14"/>
      <c r="P10" s="14"/>
      <c r="Q10" s="14"/>
      <c r="R10" s="14"/>
      <c r="S10" s="14"/>
      <c r="T10" s="14"/>
      <c r="U10" s="14"/>
      <c r="V10" s="14"/>
      <c r="W10" s="14"/>
      <c r="X10" s="14"/>
      <c r="Y10" s="14"/>
      <c r="Z10" s="14"/>
      <c r="AA10" s="14"/>
      <c r="AB10" s="30" t="str">
        <f>C65&amp;" / "&amp;(C66+C65)&amp;" შესრულებული"</f>
        <v>0 / 0 შესრულებული</v>
      </c>
      <c r="AH10" s="16"/>
      <c r="AI10" s="11"/>
      <c r="AJ10" s="21"/>
      <c r="AK10" s="18"/>
      <c r="AL10" s="18"/>
      <c r="AM10" s="18"/>
      <c r="AN10" s="18"/>
      <c r="AO10" s="19"/>
      <c r="AP10" s="22" t="b">
        <v>0</v>
      </c>
      <c r="AQ10" s="22" t="b">
        <v>0</v>
      </c>
      <c r="AR10" s="22" t="b">
        <v>0</v>
      </c>
      <c r="AS10" s="22" t="b">
        <v>0</v>
      </c>
      <c r="AT10" s="22" t="b">
        <v>0</v>
      </c>
      <c r="AU10" s="26" t="b">
        <v>0</v>
      </c>
      <c r="AV10" s="22" t="b">
        <v>0</v>
      </c>
      <c r="AW10" s="23" t="str">
        <f>IFERROR(__xludf.DUMMYFUNCTION("SPARKLINE(COUNTIF(AP10:AV10,TRUE),{""charttype"",""bar"";""max"",7;""color1"",""#a61c00"";""empty"",""ignore""})"),"")</f>
        <v/>
      </c>
      <c r="AX10" s="18"/>
      <c r="AY10" s="18"/>
      <c r="AZ10" s="18"/>
      <c r="BA10" s="18"/>
      <c r="BB10" s="19"/>
      <c r="BC10" s="24">
        <f t="shared" si="1"/>
        <v>0</v>
      </c>
      <c r="BD10" s="19"/>
      <c r="BE10" s="5"/>
    </row>
    <row r="11">
      <c r="A11" s="5"/>
      <c r="L11" s="29"/>
      <c r="M11" s="31"/>
      <c r="N11" s="32"/>
      <c r="O11" s="32"/>
      <c r="P11" s="32"/>
      <c r="Q11" s="32"/>
      <c r="R11" s="32"/>
      <c r="S11" s="32"/>
      <c r="T11" s="32"/>
      <c r="U11" s="32"/>
      <c r="V11" s="32"/>
      <c r="W11" s="32"/>
      <c r="X11" s="32"/>
      <c r="Y11" s="32"/>
      <c r="Z11" s="32"/>
      <c r="AA11" s="32"/>
      <c r="AB11" s="32"/>
      <c r="AC11" s="32"/>
      <c r="AD11" s="32"/>
      <c r="AE11" s="32"/>
      <c r="AF11" s="32"/>
      <c r="AG11" s="32"/>
      <c r="AH11" s="33"/>
      <c r="AI11" s="11"/>
      <c r="AJ11" s="21"/>
      <c r="AK11" s="18"/>
      <c r="AL11" s="18"/>
      <c r="AM11" s="18"/>
      <c r="AN11" s="18"/>
      <c r="AO11" s="19"/>
      <c r="AP11" s="26" t="b">
        <v>0</v>
      </c>
      <c r="AQ11" s="26" t="b">
        <v>0</v>
      </c>
      <c r="AR11" s="22" t="b">
        <v>0</v>
      </c>
      <c r="AS11" s="22" t="b">
        <v>0</v>
      </c>
      <c r="AT11" s="22" t="b">
        <v>0</v>
      </c>
      <c r="AU11" s="26" t="b">
        <v>0</v>
      </c>
      <c r="AV11" s="26" t="b">
        <v>0</v>
      </c>
      <c r="AW11" s="23" t="str">
        <f>IFERROR(__xludf.DUMMYFUNCTION("SPARKLINE(COUNTIF(AP11:AV11,TRUE),{""charttype"",""bar"";""max"",7;""color1"",""#a61c00"";""empty"",""ignore""})"),"")</f>
        <v/>
      </c>
      <c r="AX11" s="18"/>
      <c r="AY11" s="18"/>
      <c r="AZ11" s="18"/>
      <c r="BA11" s="18"/>
      <c r="BB11" s="19"/>
      <c r="BC11" s="24">
        <f t="shared" si="1"/>
        <v>0</v>
      </c>
      <c r="BD11" s="19"/>
      <c r="BE11" s="5"/>
    </row>
    <row r="12">
      <c r="A12" s="5"/>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5"/>
    </row>
    <row r="13">
      <c r="A13" s="5"/>
      <c r="B13" s="34" t="str">
        <f>TEXT(B15,"dddd")</f>
        <v>Saturday</v>
      </c>
      <c r="C13" s="35"/>
      <c r="D13" s="35"/>
      <c r="E13" s="35"/>
      <c r="F13" s="35"/>
      <c r="G13" s="35"/>
      <c r="H13" s="36"/>
      <c r="I13" s="37"/>
      <c r="J13" s="34" t="str">
        <f>TEXT(J15,"dddd")</f>
        <v>Sunday</v>
      </c>
      <c r="K13" s="35"/>
      <c r="L13" s="35"/>
      <c r="M13" s="35"/>
      <c r="N13" s="35"/>
      <c r="O13" s="35"/>
      <c r="P13" s="36"/>
      <c r="Q13" s="37"/>
      <c r="R13" s="34" t="str">
        <f>TEXT(R15,"dddd")</f>
        <v>Monday</v>
      </c>
      <c r="S13" s="35"/>
      <c r="T13" s="35"/>
      <c r="U13" s="35"/>
      <c r="V13" s="35"/>
      <c r="W13" s="35"/>
      <c r="X13" s="36"/>
      <c r="Y13" s="37"/>
      <c r="Z13" s="34" t="str">
        <f>TEXT(Z15,"dddd")</f>
        <v>Tuesday</v>
      </c>
      <c r="AA13" s="35"/>
      <c r="AB13" s="35"/>
      <c r="AC13" s="35"/>
      <c r="AD13" s="35"/>
      <c r="AE13" s="35"/>
      <c r="AF13" s="36"/>
      <c r="AG13" s="37"/>
      <c r="AH13" s="34" t="str">
        <f>TEXT(AH15,"dddd")</f>
        <v>Wednesday</v>
      </c>
      <c r="AI13" s="35"/>
      <c r="AJ13" s="35"/>
      <c r="AK13" s="35"/>
      <c r="AL13" s="35"/>
      <c r="AM13" s="35"/>
      <c r="AN13" s="36"/>
      <c r="AO13" s="37"/>
      <c r="AP13" s="34" t="str">
        <f>TEXT(AP15,"dddd")</f>
        <v>Thursday</v>
      </c>
      <c r="AQ13" s="35"/>
      <c r="AR13" s="35"/>
      <c r="AS13" s="35"/>
      <c r="AT13" s="35"/>
      <c r="AU13" s="35"/>
      <c r="AV13" s="36"/>
      <c r="AW13" s="37"/>
      <c r="AX13" s="34" t="str">
        <f>TEXT(AX15,"dddd")</f>
        <v>Friday</v>
      </c>
      <c r="AY13" s="35"/>
      <c r="AZ13" s="35"/>
      <c r="BA13" s="35"/>
      <c r="BB13" s="35"/>
      <c r="BC13" s="35"/>
      <c r="BD13" s="36"/>
      <c r="BE13" s="38"/>
    </row>
    <row r="14">
      <c r="A14" s="5"/>
      <c r="B14" s="39"/>
      <c r="H14" s="40"/>
      <c r="I14" s="37"/>
      <c r="J14" s="39"/>
      <c r="P14" s="40"/>
      <c r="Q14" s="37"/>
      <c r="R14" s="39"/>
      <c r="X14" s="40"/>
      <c r="Y14" s="37"/>
      <c r="Z14" s="39"/>
      <c r="AF14" s="40"/>
      <c r="AG14" s="37"/>
      <c r="AH14" s="39"/>
      <c r="AN14" s="40"/>
      <c r="AO14" s="37"/>
      <c r="AP14" s="39"/>
      <c r="AV14" s="40"/>
      <c r="AW14" s="37"/>
      <c r="AX14" s="39"/>
      <c r="BD14" s="40"/>
      <c r="BE14" s="38"/>
    </row>
    <row r="15" ht="30.75" customHeight="1">
      <c r="A15" s="5"/>
      <c r="B15" s="41" t="str">
        <f>G10</f>
        <v/>
      </c>
      <c r="H15" s="40"/>
      <c r="I15" s="37"/>
      <c r="J15" s="41">
        <f>
B15+1</f>
        <v>1</v>
      </c>
      <c r="P15" s="40"/>
      <c r="Q15" s="37"/>
      <c r="R15" s="41">
        <f>B15+2</f>
        <v>2</v>
      </c>
      <c r="X15" s="40"/>
      <c r="Y15" s="37"/>
      <c r="Z15" s="41">
        <f>B15+3</f>
        <v>3</v>
      </c>
      <c r="AF15" s="40"/>
      <c r="AG15" s="37"/>
      <c r="AH15" s="41">
        <f>B15+4</f>
        <v>4</v>
      </c>
      <c r="AN15" s="40"/>
      <c r="AO15" s="37"/>
      <c r="AP15" s="41">
        <f>B15+5</f>
        <v>5</v>
      </c>
      <c r="AV15" s="40"/>
      <c r="AW15" s="37"/>
      <c r="AX15" s="41">
        <f>B15+6</f>
        <v>6</v>
      </c>
      <c r="BD15" s="40"/>
      <c r="BE15" s="38"/>
    </row>
    <row r="16">
      <c r="A16" s="5"/>
      <c r="B16" s="42" t="str">
        <f>IFERROR(C60/COUNTA(B25:G39),"")</f>
        <v/>
      </c>
      <c r="H16" s="40"/>
      <c r="I16" s="37"/>
      <c r="J16" s="42" t="str">
        <f>IFERROR(F60/COUNTA(J25:O39),"")</f>
        <v/>
      </c>
      <c r="P16" s="40"/>
      <c r="Q16" s="37"/>
      <c r="R16" s="42" t="str">
        <f>IFERROR(J60/COUNTA(R25:W39),"")</f>
        <v/>
      </c>
      <c r="X16" s="40"/>
      <c r="Y16" s="37"/>
      <c r="Z16" s="42" t="str">
        <f>IFERROR(M60/COUNTA(Z25:AE39),"")</f>
        <v/>
      </c>
      <c r="AF16" s="40"/>
      <c r="AG16" s="37"/>
      <c r="AH16" s="42" t="str">
        <f>IFERROR(P60/COUNTA(AH25:AM39),"")</f>
        <v/>
      </c>
      <c r="AN16" s="40"/>
      <c r="AO16" s="37"/>
      <c r="AP16" s="42" t="str">
        <f>IFERROR(T60/COUNTA(AP25:AU39),"")</f>
        <v/>
      </c>
      <c r="AV16" s="40"/>
      <c r="AW16" s="37"/>
      <c r="AX16" s="42" t="str">
        <f>IFERROR(W60/COUNTA(AX25:BC39),"")</f>
        <v/>
      </c>
      <c r="BD16" s="40"/>
      <c r="BE16" s="38"/>
    </row>
    <row r="17">
      <c r="A17" s="5"/>
      <c r="B17" s="39"/>
      <c r="H17" s="40"/>
      <c r="I17" s="37"/>
      <c r="J17" s="39"/>
      <c r="P17" s="40"/>
      <c r="Q17" s="37"/>
      <c r="R17" s="39"/>
      <c r="X17" s="40"/>
      <c r="Y17" s="37"/>
      <c r="Z17" s="39"/>
      <c r="AF17" s="40"/>
      <c r="AG17" s="37"/>
      <c r="AH17" s="39"/>
      <c r="AN17" s="40"/>
      <c r="AO17" s="37"/>
      <c r="AP17" s="39"/>
      <c r="AV17" s="40"/>
      <c r="AW17" s="37"/>
      <c r="AX17" s="39"/>
      <c r="BD17" s="40"/>
      <c r="BE17" s="38"/>
    </row>
    <row r="18">
      <c r="A18" s="5"/>
      <c r="B18" s="39"/>
      <c r="H18" s="40"/>
      <c r="I18" s="37"/>
      <c r="J18" s="39"/>
      <c r="P18" s="40"/>
      <c r="Q18" s="37"/>
      <c r="R18" s="39"/>
      <c r="X18" s="40"/>
      <c r="Y18" s="37"/>
      <c r="Z18" s="39"/>
      <c r="AF18" s="40"/>
      <c r="AG18" s="37"/>
      <c r="AH18" s="39"/>
      <c r="AN18" s="40"/>
      <c r="AO18" s="37"/>
      <c r="AP18" s="39"/>
      <c r="AV18" s="40"/>
      <c r="AW18" s="37"/>
      <c r="AX18" s="39"/>
      <c r="BD18" s="40"/>
      <c r="BE18" s="38"/>
    </row>
    <row r="19">
      <c r="A19" s="5"/>
      <c r="B19" s="39"/>
      <c r="H19" s="40"/>
      <c r="I19" s="37"/>
      <c r="J19" s="39"/>
      <c r="P19" s="40"/>
      <c r="Q19" s="37"/>
      <c r="R19" s="39"/>
      <c r="X19" s="40"/>
      <c r="Y19" s="37"/>
      <c r="Z19" s="39"/>
      <c r="AF19" s="40"/>
      <c r="AG19" s="37"/>
      <c r="AH19" s="39"/>
      <c r="AN19" s="40"/>
      <c r="AO19" s="37"/>
      <c r="AP19" s="39"/>
      <c r="AV19" s="40"/>
      <c r="AW19" s="37"/>
      <c r="AX19" s="39"/>
      <c r="BD19" s="40"/>
      <c r="BE19" s="38"/>
    </row>
    <row r="20">
      <c r="A20" s="5"/>
      <c r="B20" s="39"/>
      <c r="H20" s="40"/>
      <c r="I20" s="37"/>
      <c r="J20" s="39"/>
      <c r="P20" s="40"/>
      <c r="Q20" s="37"/>
      <c r="R20" s="39"/>
      <c r="X20" s="40"/>
      <c r="Y20" s="37"/>
      <c r="Z20" s="39"/>
      <c r="AF20" s="40"/>
      <c r="AG20" s="37"/>
      <c r="AH20" s="39"/>
      <c r="AN20" s="40"/>
      <c r="AO20" s="37"/>
      <c r="AP20" s="39"/>
      <c r="AV20" s="40"/>
      <c r="AW20" s="37"/>
      <c r="AX20" s="39"/>
      <c r="BD20" s="40"/>
      <c r="BE20" s="38"/>
    </row>
    <row r="21">
      <c r="A21" s="5"/>
      <c r="B21" s="39"/>
      <c r="H21" s="40"/>
      <c r="I21" s="37"/>
      <c r="J21" s="39"/>
      <c r="P21" s="40"/>
      <c r="Q21" s="37"/>
      <c r="R21" s="39"/>
      <c r="X21" s="40"/>
      <c r="Y21" s="37"/>
      <c r="Z21" s="39"/>
      <c r="AF21" s="40"/>
      <c r="AG21" s="37"/>
      <c r="AH21" s="39"/>
      <c r="AN21" s="40"/>
      <c r="AO21" s="37"/>
      <c r="AP21" s="39"/>
      <c r="AV21" s="40"/>
      <c r="AW21" s="37"/>
      <c r="AX21" s="39"/>
      <c r="BD21" s="40"/>
      <c r="BE21" s="38"/>
    </row>
    <row r="22">
      <c r="A22" s="5"/>
      <c r="B22" s="43"/>
      <c r="C22" s="44"/>
      <c r="D22" s="44"/>
      <c r="E22" s="44"/>
      <c r="F22" s="44"/>
      <c r="G22" s="44"/>
      <c r="H22" s="45"/>
      <c r="I22" s="37"/>
      <c r="J22" s="43"/>
      <c r="K22" s="44"/>
      <c r="L22" s="44"/>
      <c r="M22" s="44"/>
      <c r="N22" s="44"/>
      <c r="O22" s="44"/>
      <c r="P22" s="45"/>
      <c r="Q22" s="37"/>
      <c r="R22" s="43"/>
      <c r="S22" s="44"/>
      <c r="T22" s="44"/>
      <c r="U22" s="44"/>
      <c r="V22" s="44"/>
      <c r="W22" s="44"/>
      <c r="X22" s="45"/>
      <c r="Y22" s="37"/>
      <c r="Z22" s="43"/>
      <c r="AA22" s="44"/>
      <c r="AB22" s="44"/>
      <c r="AC22" s="44"/>
      <c r="AD22" s="44"/>
      <c r="AE22" s="44"/>
      <c r="AF22" s="45"/>
      <c r="AG22" s="37"/>
      <c r="AH22" s="43"/>
      <c r="AI22" s="44"/>
      <c r="AJ22" s="44"/>
      <c r="AK22" s="44"/>
      <c r="AL22" s="44"/>
      <c r="AM22" s="44"/>
      <c r="AN22" s="45"/>
      <c r="AO22" s="37"/>
      <c r="AP22" s="43"/>
      <c r="AQ22" s="44"/>
      <c r="AR22" s="44"/>
      <c r="AS22" s="44"/>
      <c r="AT22" s="44"/>
      <c r="AU22" s="44"/>
      <c r="AV22" s="45"/>
      <c r="AW22" s="37"/>
      <c r="AX22" s="43"/>
      <c r="AY22" s="44"/>
      <c r="AZ22" s="44"/>
      <c r="BA22" s="44"/>
      <c r="BB22" s="44"/>
      <c r="BC22" s="44"/>
      <c r="BD22" s="45"/>
      <c r="BE22" s="38"/>
    </row>
    <row r="23" ht="7.5" customHeight="1">
      <c r="A23" s="5"/>
      <c r="B23" s="37"/>
      <c r="C23" s="37"/>
      <c r="D23" s="37"/>
      <c r="E23" s="37"/>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8"/>
    </row>
    <row r="24">
      <c r="A24" s="5"/>
      <c r="B24" s="46" t="s">
        <v>20</v>
      </c>
      <c r="C24" s="35"/>
      <c r="D24" s="35"/>
      <c r="E24" s="35"/>
      <c r="F24" s="35"/>
      <c r="G24" s="35"/>
      <c r="H24" s="36"/>
      <c r="I24" s="37"/>
      <c r="J24" s="46" t="s">
        <v>20</v>
      </c>
      <c r="K24" s="35"/>
      <c r="L24" s="35"/>
      <c r="M24" s="35"/>
      <c r="N24" s="35"/>
      <c r="O24" s="35"/>
      <c r="P24" s="36"/>
      <c r="Q24" s="37"/>
      <c r="R24" s="46" t="s">
        <v>20</v>
      </c>
      <c r="S24" s="35"/>
      <c r="T24" s="35"/>
      <c r="U24" s="35"/>
      <c r="V24" s="35"/>
      <c r="W24" s="35"/>
      <c r="X24" s="36"/>
      <c r="Y24" s="37"/>
      <c r="Z24" s="46" t="s">
        <v>20</v>
      </c>
      <c r="AA24" s="35"/>
      <c r="AB24" s="35"/>
      <c r="AC24" s="35"/>
      <c r="AD24" s="35"/>
      <c r="AE24" s="35"/>
      <c r="AF24" s="36"/>
      <c r="AG24" s="37"/>
      <c r="AH24" s="46" t="s">
        <v>20</v>
      </c>
      <c r="AI24" s="35"/>
      <c r="AJ24" s="35"/>
      <c r="AK24" s="35"/>
      <c r="AL24" s="35"/>
      <c r="AM24" s="35"/>
      <c r="AN24" s="36"/>
      <c r="AO24" s="37"/>
      <c r="AP24" s="46" t="s">
        <v>20</v>
      </c>
      <c r="AQ24" s="35"/>
      <c r="AR24" s="35"/>
      <c r="AS24" s="35"/>
      <c r="AT24" s="35"/>
      <c r="AU24" s="35"/>
      <c r="AV24" s="36"/>
      <c r="AW24" s="37"/>
      <c r="AX24" s="46" t="s">
        <v>20</v>
      </c>
      <c r="AY24" s="35"/>
      <c r="AZ24" s="35"/>
      <c r="BA24" s="35"/>
      <c r="BB24" s="35"/>
      <c r="BC24" s="35"/>
      <c r="BD24" s="36"/>
      <c r="BE24" s="38"/>
    </row>
    <row r="25">
      <c r="A25" s="5"/>
      <c r="B25" s="47"/>
      <c r="C25" s="25"/>
      <c r="D25" s="25"/>
      <c r="E25" s="25"/>
      <c r="F25" s="25"/>
      <c r="G25" s="25"/>
      <c r="H25" s="48" t="b">
        <v>0</v>
      </c>
      <c r="I25" s="11"/>
      <c r="J25" s="47"/>
      <c r="K25" s="25"/>
      <c r="L25" s="25"/>
      <c r="M25" s="25"/>
      <c r="N25" s="25"/>
      <c r="O25" s="25"/>
      <c r="P25" s="48" t="b">
        <v>0</v>
      </c>
      <c r="Q25" s="11"/>
      <c r="R25" s="47"/>
      <c r="S25" s="25"/>
      <c r="T25" s="25"/>
      <c r="U25" s="25"/>
      <c r="V25" s="25"/>
      <c r="W25" s="25"/>
      <c r="X25" s="48" t="b">
        <v>0</v>
      </c>
      <c r="Y25" s="11"/>
      <c r="Z25" s="47"/>
      <c r="AA25" s="25"/>
      <c r="AB25" s="25"/>
      <c r="AC25" s="25"/>
      <c r="AD25" s="25"/>
      <c r="AE25" s="25"/>
      <c r="AF25" s="48" t="b">
        <v>0</v>
      </c>
      <c r="AG25" s="11"/>
      <c r="AH25" s="47"/>
      <c r="AI25" s="25"/>
      <c r="AJ25" s="25"/>
      <c r="AK25" s="25"/>
      <c r="AL25" s="25"/>
      <c r="AM25" s="25"/>
      <c r="AN25" s="48" t="b">
        <v>0</v>
      </c>
      <c r="AO25" s="11"/>
      <c r="AP25" s="47"/>
      <c r="AQ25" s="25"/>
      <c r="AR25" s="25"/>
      <c r="AS25" s="25"/>
      <c r="AT25" s="25"/>
      <c r="AU25" s="25"/>
      <c r="AV25" s="48" t="b">
        <v>0</v>
      </c>
      <c r="AW25" s="11"/>
      <c r="AX25" s="47"/>
      <c r="AY25" s="25"/>
      <c r="AZ25" s="25"/>
      <c r="BA25" s="25"/>
      <c r="BB25" s="25"/>
      <c r="BC25" s="25"/>
      <c r="BD25" s="48" t="b">
        <v>0</v>
      </c>
      <c r="BE25" s="38"/>
    </row>
    <row r="26">
      <c r="A26" s="5"/>
      <c r="B26" s="47"/>
      <c r="C26" s="25"/>
      <c r="D26" s="25"/>
      <c r="E26" s="25"/>
      <c r="F26" s="25"/>
      <c r="G26" s="25"/>
      <c r="H26" s="48" t="b">
        <v>0</v>
      </c>
      <c r="I26" s="11"/>
      <c r="J26" s="47"/>
      <c r="K26" s="25"/>
      <c r="L26" s="25"/>
      <c r="M26" s="25"/>
      <c r="N26" s="25"/>
      <c r="O26" s="25"/>
      <c r="P26" s="48" t="b">
        <v>0</v>
      </c>
      <c r="Q26" s="11"/>
      <c r="R26" s="47"/>
      <c r="S26" s="25"/>
      <c r="T26" s="25"/>
      <c r="U26" s="25"/>
      <c r="V26" s="25"/>
      <c r="W26" s="25"/>
      <c r="X26" s="48" t="b">
        <v>0</v>
      </c>
      <c r="Y26" s="11"/>
      <c r="Z26" s="47"/>
      <c r="AA26" s="25"/>
      <c r="AB26" s="25"/>
      <c r="AC26" s="25"/>
      <c r="AD26" s="25"/>
      <c r="AE26" s="25"/>
      <c r="AF26" s="48" t="b">
        <v>0</v>
      </c>
      <c r="AG26" s="11"/>
      <c r="AH26" s="47"/>
      <c r="AI26" s="25"/>
      <c r="AJ26" s="25"/>
      <c r="AK26" s="25"/>
      <c r="AL26" s="25"/>
      <c r="AM26" s="25"/>
      <c r="AN26" s="48" t="b">
        <v>0</v>
      </c>
      <c r="AO26" s="11"/>
      <c r="AP26" s="47"/>
      <c r="AQ26" s="25"/>
      <c r="AR26" s="25"/>
      <c r="AS26" s="25"/>
      <c r="AT26" s="25"/>
      <c r="AU26" s="25"/>
      <c r="AV26" s="48" t="b">
        <v>0</v>
      </c>
      <c r="AW26" s="11"/>
      <c r="AX26" s="47"/>
      <c r="AY26" s="25"/>
      <c r="AZ26" s="25"/>
      <c r="BA26" s="25"/>
      <c r="BB26" s="25"/>
      <c r="BC26" s="25"/>
      <c r="BD26" s="48" t="b">
        <v>0</v>
      </c>
      <c r="BE26" s="38"/>
    </row>
    <row r="27">
      <c r="A27" s="5"/>
      <c r="B27" s="47"/>
      <c r="C27" s="25"/>
      <c r="D27" s="25"/>
      <c r="E27" s="25"/>
      <c r="F27" s="25"/>
      <c r="G27" s="25"/>
      <c r="H27" s="48" t="b">
        <v>0</v>
      </c>
      <c r="I27" s="11"/>
      <c r="J27" s="47"/>
      <c r="K27" s="25"/>
      <c r="L27" s="25"/>
      <c r="M27" s="25"/>
      <c r="N27" s="25"/>
      <c r="O27" s="25"/>
      <c r="P27" s="48" t="b">
        <v>0</v>
      </c>
      <c r="Q27" s="11"/>
      <c r="R27" s="47"/>
      <c r="S27" s="25"/>
      <c r="T27" s="25"/>
      <c r="U27" s="25"/>
      <c r="V27" s="25"/>
      <c r="W27" s="25"/>
      <c r="X27" s="48" t="b">
        <v>0</v>
      </c>
      <c r="Y27" s="11"/>
      <c r="Z27" s="47"/>
      <c r="AA27" s="25"/>
      <c r="AB27" s="25"/>
      <c r="AC27" s="25"/>
      <c r="AD27" s="25"/>
      <c r="AE27" s="25"/>
      <c r="AF27" s="48" t="b">
        <v>0</v>
      </c>
      <c r="AG27" s="11"/>
      <c r="AH27" s="47"/>
      <c r="AI27" s="25"/>
      <c r="AJ27" s="25"/>
      <c r="AK27" s="25"/>
      <c r="AL27" s="25"/>
      <c r="AM27" s="25"/>
      <c r="AN27" s="48" t="b">
        <v>0</v>
      </c>
      <c r="AO27" s="11"/>
      <c r="AP27" s="47"/>
      <c r="AQ27" s="25"/>
      <c r="AR27" s="25"/>
      <c r="AS27" s="25"/>
      <c r="AT27" s="25"/>
      <c r="AU27" s="25"/>
      <c r="AV27" s="48" t="b">
        <v>0</v>
      </c>
      <c r="AW27" s="11"/>
      <c r="AX27" s="47"/>
      <c r="AY27" s="25"/>
      <c r="AZ27" s="25"/>
      <c r="BA27" s="25"/>
      <c r="BB27" s="25"/>
      <c r="BC27" s="25"/>
      <c r="BD27" s="48" t="b">
        <v>0</v>
      </c>
      <c r="BE27" s="38"/>
    </row>
    <row r="28">
      <c r="A28" s="5"/>
      <c r="B28" s="47"/>
      <c r="C28" s="25"/>
      <c r="D28" s="25"/>
      <c r="E28" s="25"/>
      <c r="F28" s="25"/>
      <c r="G28" s="25"/>
      <c r="H28" s="48" t="b">
        <v>0</v>
      </c>
      <c r="I28" s="11"/>
      <c r="J28" s="47"/>
      <c r="K28" s="25"/>
      <c r="L28" s="25"/>
      <c r="M28" s="25"/>
      <c r="N28" s="25"/>
      <c r="O28" s="25"/>
      <c r="P28" s="48" t="b">
        <v>0</v>
      </c>
      <c r="Q28" s="11"/>
      <c r="R28" s="47"/>
      <c r="S28" s="25"/>
      <c r="T28" s="25"/>
      <c r="U28" s="25"/>
      <c r="V28" s="25"/>
      <c r="W28" s="25"/>
      <c r="X28" s="48" t="b">
        <v>0</v>
      </c>
      <c r="Y28" s="11"/>
      <c r="Z28" s="47"/>
      <c r="AA28" s="25"/>
      <c r="AB28" s="25"/>
      <c r="AC28" s="25"/>
      <c r="AD28" s="25"/>
      <c r="AE28" s="25"/>
      <c r="AF28" s="48" t="b">
        <v>0</v>
      </c>
      <c r="AG28" s="11"/>
      <c r="AH28" s="47"/>
      <c r="AI28" s="25"/>
      <c r="AJ28" s="25"/>
      <c r="AK28" s="25"/>
      <c r="AL28" s="25"/>
      <c r="AM28" s="25"/>
      <c r="AN28" s="48" t="b">
        <v>0</v>
      </c>
      <c r="AO28" s="11"/>
      <c r="AP28" s="47"/>
      <c r="AQ28" s="25"/>
      <c r="AR28" s="25"/>
      <c r="AS28" s="25"/>
      <c r="AT28" s="25"/>
      <c r="AU28" s="25"/>
      <c r="AV28" s="48" t="b">
        <v>0</v>
      </c>
      <c r="AW28" s="11"/>
      <c r="AX28" s="47"/>
      <c r="AY28" s="25"/>
      <c r="AZ28" s="25"/>
      <c r="BA28" s="25"/>
      <c r="BB28" s="25"/>
      <c r="BC28" s="25"/>
      <c r="BD28" s="48" t="b">
        <v>0</v>
      </c>
      <c r="BE28" s="38"/>
    </row>
    <row r="29">
      <c r="A29" s="5"/>
      <c r="B29" s="47"/>
      <c r="C29" s="25"/>
      <c r="D29" s="25"/>
      <c r="E29" s="25"/>
      <c r="F29" s="25"/>
      <c r="G29" s="25"/>
      <c r="H29" s="48" t="b">
        <v>0</v>
      </c>
      <c r="I29" s="11"/>
      <c r="J29" s="47"/>
      <c r="K29" s="25"/>
      <c r="L29" s="25"/>
      <c r="M29" s="25"/>
      <c r="N29" s="25"/>
      <c r="O29" s="25"/>
      <c r="P29" s="48" t="b">
        <v>0</v>
      </c>
      <c r="Q29" s="11"/>
      <c r="R29" s="47"/>
      <c r="S29" s="25"/>
      <c r="T29" s="25"/>
      <c r="U29" s="25"/>
      <c r="V29" s="25"/>
      <c r="W29" s="25"/>
      <c r="X29" s="48" t="b">
        <v>0</v>
      </c>
      <c r="Y29" s="11"/>
      <c r="Z29" s="47"/>
      <c r="AA29" s="25"/>
      <c r="AB29" s="25"/>
      <c r="AC29" s="25"/>
      <c r="AD29" s="25"/>
      <c r="AE29" s="25"/>
      <c r="AF29" s="48" t="b">
        <v>0</v>
      </c>
      <c r="AG29" s="11"/>
      <c r="AH29" s="47"/>
      <c r="AI29" s="25"/>
      <c r="AJ29" s="25"/>
      <c r="AK29" s="25"/>
      <c r="AL29" s="25"/>
      <c r="AM29" s="25"/>
      <c r="AN29" s="48" t="b">
        <v>0</v>
      </c>
      <c r="AO29" s="11"/>
      <c r="AP29" s="47"/>
      <c r="AQ29" s="25"/>
      <c r="AR29" s="25"/>
      <c r="AS29" s="25"/>
      <c r="AT29" s="25"/>
      <c r="AU29" s="25"/>
      <c r="AV29" s="48" t="b">
        <v>0</v>
      </c>
      <c r="AW29" s="11"/>
      <c r="AX29" s="47"/>
      <c r="AY29" s="25"/>
      <c r="AZ29" s="25"/>
      <c r="BA29" s="25"/>
      <c r="BB29" s="25"/>
      <c r="BC29" s="25"/>
      <c r="BD29" s="48" t="b">
        <v>0</v>
      </c>
      <c r="BE29" s="38"/>
    </row>
    <row r="30">
      <c r="A30" s="5"/>
      <c r="B30" s="47"/>
      <c r="C30" s="25"/>
      <c r="D30" s="25"/>
      <c r="E30" s="25"/>
      <c r="F30" s="25"/>
      <c r="G30" s="25"/>
      <c r="H30" s="48" t="b">
        <v>0</v>
      </c>
      <c r="I30" s="11"/>
      <c r="J30" s="47"/>
      <c r="K30" s="25"/>
      <c r="L30" s="25"/>
      <c r="M30" s="25"/>
      <c r="N30" s="25"/>
      <c r="O30" s="25"/>
      <c r="P30" s="48" t="b">
        <v>0</v>
      </c>
      <c r="Q30" s="11"/>
      <c r="R30" s="47"/>
      <c r="S30" s="25"/>
      <c r="T30" s="25"/>
      <c r="U30" s="25"/>
      <c r="V30" s="25"/>
      <c r="W30" s="25"/>
      <c r="X30" s="48" t="b">
        <v>0</v>
      </c>
      <c r="Y30" s="11"/>
      <c r="Z30" s="47"/>
      <c r="AA30" s="25"/>
      <c r="AB30" s="25"/>
      <c r="AC30" s="25"/>
      <c r="AD30" s="25"/>
      <c r="AE30" s="25"/>
      <c r="AF30" s="48" t="b">
        <v>0</v>
      </c>
      <c r="AG30" s="11"/>
      <c r="AH30" s="47"/>
      <c r="AI30" s="25"/>
      <c r="AJ30" s="25"/>
      <c r="AK30" s="25"/>
      <c r="AL30" s="25"/>
      <c r="AM30" s="25"/>
      <c r="AN30" s="48" t="b">
        <v>0</v>
      </c>
      <c r="AO30" s="11"/>
      <c r="AP30" s="47"/>
      <c r="AQ30" s="25"/>
      <c r="AR30" s="25"/>
      <c r="AS30" s="25"/>
      <c r="AT30" s="25"/>
      <c r="AU30" s="25"/>
      <c r="AV30" s="48" t="b">
        <v>0</v>
      </c>
      <c r="AW30" s="11"/>
      <c r="AX30" s="47"/>
      <c r="AY30" s="25"/>
      <c r="AZ30" s="25"/>
      <c r="BA30" s="25"/>
      <c r="BB30" s="25"/>
      <c r="BC30" s="25"/>
      <c r="BD30" s="48" t="b">
        <v>0</v>
      </c>
      <c r="BE30" s="38"/>
    </row>
    <row r="31">
      <c r="A31" s="5"/>
      <c r="B31" s="47"/>
      <c r="C31" s="25"/>
      <c r="D31" s="25"/>
      <c r="E31" s="25"/>
      <c r="F31" s="25"/>
      <c r="G31" s="25"/>
      <c r="H31" s="48" t="b">
        <v>0</v>
      </c>
      <c r="I31" s="11"/>
      <c r="J31" s="47"/>
      <c r="K31" s="25"/>
      <c r="L31" s="25"/>
      <c r="M31" s="25"/>
      <c r="N31" s="25"/>
      <c r="O31" s="25"/>
      <c r="P31" s="48" t="b">
        <v>0</v>
      </c>
      <c r="Q31" s="11"/>
      <c r="R31" s="47"/>
      <c r="S31" s="25"/>
      <c r="T31" s="25"/>
      <c r="U31" s="25"/>
      <c r="V31" s="25"/>
      <c r="W31" s="25"/>
      <c r="X31" s="48" t="b">
        <v>0</v>
      </c>
      <c r="Y31" s="11"/>
      <c r="Z31" s="47"/>
      <c r="AA31" s="25"/>
      <c r="AB31" s="25"/>
      <c r="AC31" s="25"/>
      <c r="AD31" s="25"/>
      <c r="AE31" s="25"/>
      <c r="AF31" s="48" t="b">
        <v>0</v>
      </c>
      <c r="AG31" s="11"/>
      <c r="AH31" s="47"/>
      <c r="AI31" s="25"/>
      <c r="AJ31" s="25"/>
      <c r="AK31" s="25"/>
      <c r="AL31" s="25"/>
      <c r="AM31" s="25"/>
      <c r="AN31" s="48" t="b">
        <v>0</v>
      </c>
      <c r="AO31" s="11"/>
      <c r="AP31" s="47"/>
      <c r="AQ31" s="25"/>
      <c r="AR31" s="25"/>
      <c r="AS31" s="25"/>
      <c r="AT31" s="25"/>
      <c r="AU31" s="25"/>
      <c r="AV31" s="48" t="b">
        <v>0</v>
      </c>
      <c r="AW31" s="11"/>
      <c r="AX31" s="47"/>
      <c r="AY31" s="25"/>
      <c r="AZ31" s="25"/>
      <c r="BA31" s="25"/>
      <c r="BB31" s="25"/>
      <c r="BC31" s="25"/>
      <c r="BD31" s="48" t="b">
        <v>0</v>
      </c>
      <c r="BE31" s="38"/>
    </row>
    <row r="32">
      <c r="A32" s="5"/>
      <c r="B32" s="47"/>
      <c r="C32" s="25"/>
      <c r="D32" s="25"/>
      <c r="E32" s="25"/>
      <c r="F32" s="25"/>
      <c r="G32" s="25"/>
      <c r="H32" s="48" t="b">
        <v>0</v>
      </c>
      <c r="I32" s="11"/>
      <c r="J32" s="47"/>
      <c r="K32" s="25"/>
      <c r="L32" s="25"/>
      <c r="M32" s="25"/>
      <c r="N32" s="25"/>
      <c r="O32" s="25"/>
      <c r="P32" s="48" t="b">
        <v>0</v>
      </c>
      <c r="Q32" s="11"/>
      <c r="R32" s="47"/>
      <c r="S32" s="25"/>
      <c r="T32" s="25"/>
      <c r="U32" s="25"/>
      <c r="V32" s="25"/>
      <c r="W32" s="25"/>
      <c r="X32" s="48" t="b">
        <v>0</v>
      </c>
      <c r="Y32" s="11"/>
      <c r="Z32" s="47"/>
      <c r="AA32" s="25"/>
      <c r="AB32" s="25"/>
      <c r="AC32" s="25"/>
      <c r="AD32" s="25"/>
      <c r="AE32" s="25"/>
      <c r="AF32" s="48" t="b">
        <v>0</v>
      </c>
      <c r="AG32" s="11"/>
      <c r="AH32" s="47"/>
      <c r="AI32" s="25"/>
      <c r="AJ32" s="25"/>
      <c r="AK32" s="25"/>
      <c r="AL32" s="25"/>
      <c r="AM32" s="25"/>
      <c r="AN32" s="48" t="b">
        <v>0</v>
      </c>
      <c r="AO32" s="11"/>
      <c r="AP32" s="47"/>
      <c r="AQ32" s="25"/>
      <c r="AR32" s="25"/>
      <c r="AS32" s="25"/>
      <c r="AT32" s="25"/>
      <c r="AU32" s="25"/>
      <c r="AV32" s="48" t="b">
        <v>0</v>
      </c>
      <c r="AW32" s="11"/>
      <c r="AX32" s="47"/>
      <c r="AY32" s="25"/>
      <c r="AZ32" s="25"/>
      <c r="BA32" s="25"/>
      <c r="BB32" s="25"/>
      <c r="BC32" s="25"/>
      <c r="BD32" s="48" t="b">
        <v>0</v>
      </c>
      <c r="BE32" s="38"/>
    </row>
    <row r="33">
      <c r="A33" s="5"/>
      <c r="B33" s="47"/>
      <c r="C33" s="25"/>
      <c r="D33" s="25"/>
      <c r="E33" s="25"/>
      <c r="F33" s="25"/>
      <c r="G33" s="25"/>
      <c r="H33" s="48" t="b">
        <v>0</v>
      </c>
      <c r="I33" s="11"/>
      <c r="J33" s="47"/>
      <c r="K33" s="25"/>
      <c r="L33" s="25"/>
      <c r="M33" s="25"/>
      <c r="N33" s="25"/>
      <c r="O33" s="25"/>
      <c r="P33" s="48" t="b">
        <v>0</v>
      </c>
      <c r="Q33" s="11"/>
      <c r="R33" s="47"/>
      <c r="S33" s="25"/>
      <c r="T33" s="25"/>
      <c r="U33" s="25"/>
      <c r="V33" s="25"/>
      <c r="W33" s="25"/>
      <c r="X33" s="48" t="b">
        <v>0</v>
      </c>
      <c r="Y33" s="11"/>
      <c r="Z33" s="47"/>
      <c r="AA33" s="25"/>
      <c r="AB33" s="25"/>
      <c r="AC33" s="25"/>
      <c r="AD33" s="25"/>
      <c r="AE33" s="25"/>
      <c r="AF33" s="48" t="b">
        <v>0</v>
      </c>
      <c r="AG33" s="11"/>
      <c r="AH33" s="47"/>
      <c r="AI33" s="25"/>
      <c r="AJ33" s="25"/>
      <c r="AK33" s="25"/>
      <c r="AL33" s="25"/>
      <c r="AM33" s="25"/>
      <c r="AN33" s="48" t="b">
        <v>0</v>
      </c>
      <c r="AO33" s="11"/>
      <c r="AP33" s="47"/>
      <c r="AQ33" s="25"/>
      <c r="AR33" s="25"/>
      <c r="AS33" s="25"/>
      <c r="AT33" s="25"/>
      <c r="AU33" s="25"/>
      <c r="AV33" s="48" t="b">
        <v>0</v>
      </c>
      <c r="AW33" s="11"/>
      <c r="AX33" s="47"/>
      <c r="AY33" s="25"/>
      <c r="AZ33" s="25"/>
      <c r="BA33" s="25"/>
      <c r="BB33" s="25"/>
      <c r="BC33" s="25"/>
      <c r="BD33" s="48" t="b">
        <v>0</v>
      </c>
      <c r="BE33" s="38"/>
    </row>
    <row r="34">
      <c r="A34" s="5"/>
      <c r="B34" s="47"/>
      <c r="C34" s="25"/>
      <c r="D34" s="25"/>
      <c r="E34" s="25"/>
      <c r="F34" s="25"/>
      <c r="G34" s="25"/>
      <c r="H34" s="48" t="b">
        <v>0</v>
      </c>
      <c r="I34" s="11"/>
      <c r="J34" s="47"/>
      <c r="K34" s="25"/>
      <c r="L34" s="25"/>
      <c r="M34" s="25"/>
      <c r="N34" s="25"/>
      <c r="O34" s="25"/>
      <c r="P34" s="48" t="b">
        <v>0</v>
      </c>
      <c r="Q34" s="11"/>
      <c r="R34" s="47"/>
      <c r="S34" s="25"/>
      <c r="T34" s="25"/>
      <c r="U34" s="25"/>
      <c r="V34" s="25"/>
      <c r="W34" s="25"/>
      <c r="X34" s="48" t="b">
        <v>0</v>
      </c>
      <c r="Y34" s="11"/>
      <c r="Z34" s="47"/>
      <c r="AA34" s="25"/>
      <c r="AB34" s="25"/>
      <c r="AC34" s="25"/>
      <c r="AD34" s="25"/>
      <c r="AE34" s="25"/>
      <c r="AF34" s="48" t="b">
        <v>0</v>
      </c>
      <c r="AG34" s="11"/>
      <c r="AH34" s="47"/>
      <c r="AI34" s="25"/>
      <c r="AJ34" s="25"/>
      <c r="AK34" s="25"/>
      <c r="AL34" s="25"/>
      <c r="AM34" s="25"/>
      <c r="AN34" s="48" t="b">
        <v>0</v>
      </c>
      <c r="AO34" s="11"/>
      <c r="AP34" s="47"/>
      <c r="AQ34" s="25"/>
      <c r="AR34" s="25"/>
      <c r="AS34" s="25"/>
      <c r="AT34" s="25"/>
      <c r="AU34" s="25"/>
      <c r="AV34" s="48" t="b">
        <v>0</v>
      </c>
      <c r="AW34" s="11"/>
      <c r="AX34" s="47"/>
      <c r="AY34" s="25"/>
      <c r="AZ34" s="25"/>
      <c r="BA34" s="25"/>
      <c r="BB34" s="25"/>
      <c r="BC34" s="25"/>
      <c r="BD34" s="48" t="b">
        <v>0</v>
      </c>
      <c r="BE34" s="38"/>
    </row>
    <row r="35">
      <c r="A35" s="5"/>
      <c r="B35" s="47"/>
      <c r="C35" s="25"/>
      <c r="D35" s="25"/>
      <c r="E35" s="25"/>
      <c r="F35" s="25"/>
      <c r="G35" s="25"/>
      <c r="H35" s="48" t="b">
        <v>0</v>
      </c>
      <c r="I35" s="11"/>
      <c r="J35" s="47"/>
      <c r="K35" s="25"/>
      <c r="L35" s="25"/>
      <c r="M35" s="25"/>
      <c r="N35" s="25"/>
      <c r="O35" s="25"/>
      <c r="P35" s="48" t="b">
        <v>0</v>
      </c>
      <c r="Q35" s="11"/>
      <c r="R35" s="47"/>
      <c r="S35" s="25"/>
      <c r="T35" s="25"/>
      <c r="U35" s="25"/>
      <c r="V35" s="25"/>
      <c r="W35" s="25"/>
      <c r="X35" s="48" t="b">
        <v>0</v>
      </c>
      <c r="Y35" s="11"/>
      <c r="Z35" s="47"/>
      <c r="AA35" s="25"/>
      <c r="AB35" s="25"/>
      <c r="AC35" s="25"/>
      <c r="AD35" s="25"/>
      <c r="AE35" s="25"/>
      <c r="AF35" s="48" t="b">
        <v>0</v>
      </c>
      <c r="AG35" s="11"/>
      <c r="AH35" s="47"/>
      <c r="AI35" s="25"/>
      <c r="AJ35" s="25"/>
      <c r="AK35" s="25"/>
      <c r="AL35" s="25"/>
      <c r="AM35" s="25"/>
      <c r="AN35" s="48" t="b">
        <v>0</v>
      </c>
      <c r="AO35" s="11"/>
      <c r="AP35" s="47"/>
      <c r="AQ35" s="25"/>
      <c r="AR35" s="25"/>
      <c r="AS35" s="25"/>
      <c r="AT35" s="25"/>
      <c r="AU35" s="25"/>
      <c r="AV35" s="48" t="b">
        <v>0</v>
      </c>
      <c r="AW35" s="11"/>
      <c r="AX35" s="47"/>
      <c r="AY35" s="25"/>
      <c r="AZ35" s="25"/>
      <c r="BA35" s="25"/>
      <c r="BB35" s="25"/>
      <c r="BC35" s="25"/>
      <c r="BD35" s="48" t="b">
        <v>0</v>
      </c>
      <c r="BE35" s="38"/>
    </row>
    <row r="36">
      <c r="A36" s="5"/>
      <c r="B36" s="47"/>
      <c r="C36" s="25"/>
      <c r="D36" s="25"/>
      <c r="E36" s="25"/>
      <c r="F36" s="25"/>
      <c r="G36" s="25"/>
      <c r="H36" s="48" t="b">
        <v>0</v>
      </c>
      <c r="I36" s="11"/>
      <c r="J36" s="47"/>
      <c r="K36" s="25"/>
      <c r="L36" s="25"/>
      <c r="M36" s="25"/>
      <c r="N36" s="25"/>
      <c r="O36" s="25"/>
      <c r="P36" s="48" t="b">
        <v>0</v>
      </c>
      <c r="Q36" s="11"/>
      <c r="R36" s="47"/>
      <c r="S36" s="25"/>
      <c r="T36" s="25"/>
      <c r="U36" s="25"/>
      <c r="V36" s="25"/>
      <c r="W36" s="25"/>
      <c r="X36" s="48" t="b">
        <v>0</v>
      </c>
      <c r="Y36" s="11"/>
      <c r="Z36" s="47"/>
      <c r="AA36" s="25"/>
      <c r="AB36" s="25"/>
      <c r="AC36" s="25"/>
      <c r="AD36" s="25"/>
      <c r="AE36" s="25"/>
      <c r="AF36" s="48" t="b">
        <v>0</v>
      </c>
      <c r="AG36" s="11"/>
      <c r="AH36" s="47"/>
      <c r="AI36" s="25"/>
      <c r="AJ36" s="25"/>
      <c r="AK36" s="25"/>
      <c r="AL36" s="25"/>
      <c r="AM36" s="25"/>
      <c r="AN36" s="48" t="b">
        <v>0</v>
      </c>
      <c r="AO36" s="11"/>
      <c r="AP36" s="47"/>
      <c r="AQ36" s="25"/>
      <c r="AR36" s="25"/>
      <c r="AS36" s="25"/>
      <c r="AT36" s="25"/>
      <c r="AU36" s="25"/>
      <c r="AV36" s="48" t="b">
        <v>0</v>
      </c>
      <c r="AW36" s="11"/>
      <c r="AX36" s="47"/>
      <c r="AY36" s="25"/>
      <c r="AZ36" s="25"/>
      <c r="BA36" s="25"/>
      <c r="BB36" s="25"/>
      <c r="BC36" s="25"/>
      <c r="BD36" s="48" t="b">
        <v>0</v>
      </c>
      <c r="BE36" s="38"/>
    </row>
    <row r="37">
      <c r="A37" s="5"/>
      <c r="B37" s="47"/>
      <c r="C37" s="25"/>
      <c r="D37" s="25"/>
      <c r="E37" s="25"/>
      <c r="F37" s="25"/>
      <c r="G37" s="25"/>
      <c r="H37" s="48" t="b">
        <v>0</v>
      </c>
      <c r="I37" s="11"/>
      <c r="J37" s="47"/>
      <c r="K37" s="25"/>
      <c r="L37" s="25"/>
      <c r="M37" s="25"/>
      <c r="N37" s="25"/>
      <c r="O37" s="25"/>
      <c r="P37" s="48" t="b">
        <v>0</v>
      </c>
      <c r="Q37" s="11"/>
      <c r="R37" s="47"/>
      <c r="S37" s="25"/>
      <c r="T37" s="25"/>
      <c r="U37" s="25"/>
      <c r="V37" s="25"/>
      <c r="W37" s="25"/>
      <c r="X37" s="48" t="b">
        <v>0</v>
      </c>
      <c r="Y37" s="11"/>
      <c r="Z37" s="47"/>
      <c r="AA37" s="25"/>
      <c r="AB37" s="25"/>
      <c r="AC37" s="25"/>
      <c r="AD37" s="25"/>
      <c r="AE37" s="25"/>
      <c r="AF37" s="48" t="b">
        <v>0</v>
      </c>
      <c r="AG37" s="11"/>
      <c r="AH37" s="47"/>
      <c r="AI37" s="25"/>
      <c r="AJ37" s="25"/>
      <c r="AK37" s="25"/>
      <c r="AL37" s="25"/>
      <c r="AM37" s="25"/>
      <c r="AN37" s="48" t="b">
        <v>0</v>
      </c>
      <c r="AO37" s="11"/>
      <c r="AP37" s="47"/>
      <c r="AQ37" s="25"/>
      <c r="AR37" s="25"/>
      <c r="AS37" s="25"/>
      <c r="AT37" s="25"/>
      <c r="AU37" s="25"/>
      <c r="AV37" s="48" t="b">
        <v>0</v>
      </c>
      <c r="AW37" s="11"/>
      <c r="AX37" s="47"/>
      <c r="AY37" s="25"/>
      <c r="AZ37" s="25"/>
      <c r="BA37" s="25"/>
      <c r="BB37" s="25"/>
      <c r="BC37" s="25"/>
      <c r="BD37" s="48" t="b">
        <v>0</v>
      </c>
      <c r="BE37" s="38"/>
    </row>
    <row r="38">
      <c r="A38" s="5"/>
      <c r="B38" s="47"/>
      <c r="C38" s="25"/>
      <c r="D38" s="25"/>
      <c r="E38" s="25"/>
      <c r="F38" s="25"/>
      <c r="G38" s="25"/>
      <c r="H38" s="48" t="b">
        <v>0</v>
      </c>
      <c r="I38" s="11"/>
      <c r="J38" s="47"/>
      <c r="K38" s="25"/>
      <c r="L38" s="25"/>
      <c r="M38" s="25"/>
      <c r="N38" s="25"/>
      <c r="O38" s="25"/>
      <c r="P38" s="48" t="b">
        <v>0</v>
      </c>
      <c r="Q38" s="11"/>
      <c r="R38" s="47"/>
      <c r="S38" s="25"/>
      <c r="T38" s="25"/>
      <c r="U38" s="25"/>
      <c r="V38" s="25"/>
      <c r="W38" s="25"/>
      <c r="X38" s="48" t="b">
        <v>0</v>
      </c>
      <c r="Y38" s="11"/>
      <c r="Z38" s="47"/>
      <c r="AA38" s="25"/>
      <c r="AB38" s="25"/>
      <c r="AC38" s="25"/>
      <c r="AD38" s="25"/>
      <c r="AE38" s="25"/>
      <c r="AF38" s="48" t="b">
        <v>0</v>
      </c>
      <c r="AG38" s="11"/>
      <c r="AH38" s="47"/>
      <c r="AI38" s="25"/>
      <c r="AJ38" s="25"/>
      <c r="AK38" s="25"/>
      <c r="AL38" s="25"/>
      <c r="AM38" s="25"/>
      <c r="AN38" s="48" t="b">
        <v>0</v>
      </c>
      <c r="AO38" s="11"/>
      <c r="AP38" s="47"/>
      <c r="AQ38" s="25"/>
      <c r="AR38" s="25"/>
      <c r="AS38" s="25"/>
      <c r="AT38" s="25"/>
      <c r="AU38" s="25"/>
      <c r="AV38" s="48" t="b">
        <v>0</v>
      </c>
      <c r="AW38" s="11"/>
      <c r="AX38" s="47"/>
      <c r="AY38" s="25"/>
      <c r="AZ38" s="25"/>
      <c r="BA38" s="25"/>
      <c r="BB38" s="25"/>
      <c r="BC38" s="25"/>
      <c r="BD38" s="48" t="b">
        <v>0</v>
      </c>
      <c r="BE38" s="38"/>
    </row>
    <row r="39">
      <c r="A39" s="5"/>
      <c r="B39" s="47"/>
      <c r="C39" s="25"/>
      <c r="D39" s="25"/>
      <c r="E39" s="25"/>
      <c r="F39" s="25"/>
      <c r="G39" s="25"/>
      <c r="H39" s="48" t="b">
        <v>0</v>
      </c>
      <c r="I39" s="11"/>
      <c r="J39" s="47"/>
      <c r="K39" s="25"/>
      <c r="L39" s="25"/>
      <c r="M39" s="25"/>
      <c r="N39" s="25"/>
      <c r="O39" s="25"/>
      <c r="P39" s="48" t="b">
        <v>0</v>
      </c>
      <c r="Q39" s="11"/>
      <c r="R39" s="47"/>
      <c r="S39" s="25"/>
      <c r="T39" s="25"/>
      <c r="U39" s="25"/>
      <c r="V39" s="25"/>
      <c r="W39" s="25"/>
      <c r="X39" s="48" t="b">
        <v>0</v>
      </c>
      <c r="Y39" s="11"/>
      <c r="Z39" s="47"/>
      <c r="AA39" s="25"/>
      <c r="AB39" s="25"/>
      <c r="AC39" s="25"/>
      <c r="AD39" s="25"/>
      <c r="AE39" s="25"/>
      <c r="AF39" s="48" t="b">
        <v>0</v>
      </c>
      <c r="AG39" s="11"/>
      <c r="AH39" s="47"/>
      <c r="AI39" s="25"/>
      <c r="AJ39" s="25"/>
      <c r="AK39" s="25"/>
      <c r="AL39" s="25"/>
      <c r="AM39" s="25"/>
      <c r="AN39" s="48" t="b">
        <v>0</v>
      </c>
      <c r="AO39" s="11"/>
      <c r="AP39" s="47"/>
      <c r="AQ39" s="25"/>
      <c r="AR39" s="25"/>
      <c r="AS39" s="25"/>
      <c r="AT39" s="25"/>
      <c r="AU39" s="25"/>
      <c r="AV39" s="48" t="b">
        <v>0</v>
      </c>
      <c r="AW39" s="11"/>
      <c r="AX39" s="47"/>
      <c r="AY39" s="25"/>
      <c r="AZ39" s="25"/>
      <c r="BA39" s="25"/>
      <c r="BB39" s="25"/>
      <c r="BC39" s="25"/>
      <c r="BD39" s="48" t="b">
        <v>0</v>
      </c>
      <c r="BE39" s="38"/>
    </row>
    <row r="40" ht="15.75" customHeight="1">
      <c r="A40" s="5"/>
      <c r="B40" s="49" t="s">
        <v>58</v>
      </c>
      <c r="G40" s="50">
        <f t="shared" ref="G40:G41" si="2">C60</f>
        <v>0</v>
      </c>
      <c r="H40" s="40"/>
      <c r="I40" s="51"/>
      <c r="J40" s="49" t="s">
        <v>58</v>
      </c>
      <c r="O40" s="50">
        <v>4.0</v>
      </c>
      <c r="P40" s="40"/>
      <c r="Q40" s="51"/>
      <c r="R40" s="49" t="s">
        <v>58</v>
      </c>
      <c r="W40" s="50">
        <f t="shared" ref="W40:W41" si="3">J60</f>
        <v>0</v>
      </c>
      <c r="X40" s="40"/>
      <c r="Y40" s="51"/>
      <c r="Z40" s="49" t="s">
        <v>58</v>
      </c>
      <c r="AE40" s="50">
        <f t="shared" ref="AE40:AE41" si="4">M60</f>
        <v>0</v>
      </c>
      <c r="AF40" s="40"/>
      <c r="AG40" s="51"/>
      <c r="AH40" s="49" t="s">
        <v>58</v>
      </c>
      <c r="AM40" s="50">
        <f t="shared" ref="AM40:AM41" si="5">P60</f>
        <v>0</v>
      </c>
      <c r="AN40" s="40"/>
      <c r="AO40" s="51"/>
      <c r="AP40" s="49" t="s">
        <v>58</v>
      </c>
      <c r="AU40" s="50">
        <f t="shared" ref="AU40:AU41" si="6">T60</f>
        <v>0</v>
      </c>
      <c r="AV40" s="40"/>
      <c r="AW40" s="51"/>
      <c r="AX40" s="49" t="s">
        <v>58</v>
      </c>
      <c r="BC40" s="50">
        <f t="shared" ref="BC40:BC41" si="7">W60</f>
        <v>0</v>
      </c>
      <c r="BD40" s="40"/>
      <c r="BE40" s="38"/>
    </row>
    <row r="41">
      <c r="A41" s="5"/>
      <c r="B41" s="52" t="s">
        <v>59</v>
      </c>
      <c r="C41" s="44"/>
      <c r="D41" s="44"/>
      <c r="E41" s="44"/>
      <c r="F41" s="44"/>
      <c r="G41" s="53">
        <f t="shared" si="2"/>
        <v>0</v>
      </c>
      <c r="H41" s="45"/>
      <c r="I41" s="51"/>
      <c r="J41" s="52" t="s">
        <v>59</v>
      </c>
      <c r="K41" s="44"/>
      <c r="L41" s="44"/>
      <c r="M41" s="44"/>
      <c r="N41" s="44"/>
      <c r="O41" s="53">
        <v>2.0</v>
      </c>
      <c r="P41" s="45"/>
      <c r="Q41" s="51"/>
      <c r="R41" s="52" t="s">
        <v>59</v>
      </c>
      <c r="S41" s="44"/>
      <c r="T41" s="44"/>
      <c r="U41" s="44"/>
      <c r="V41" s="44"/>
      <c r="W41" s="53">
        <f t="shared" si="3"/>
        <v>0</v>
      </c>
      <c r="X41" s="45"/>
      <c r="Y41" s="51"/>
      <c r="Z41" s="52" t="s">
        <v>59</v>
      </c>
      <c r="AA41" s="44"/>
      <c r="AB41" s="44"/>
      <c r="AC41" s="44"/>
      <c r="AD41" s="44"/>
      <c r="AE41" s="53">
        <f t="shared" si="4"/>
        <v>0</v>
      </c>
      <c r="AF41" s="45"/>
      <c r="AG41" s="51"/>
      <c r="AH41" s="52" t="s">
        <v>59</v>
      </c>
      <c r="AI41" s="44"/>
      <c r="AJ41" s="44"/>
      <c r="AK41" s="44"/>
      <c r="AL41" s="44"/>
      <c r="AM41" s="53">
        <f t="shared" si="5"/>
        <v>0</v>
      </c>
      <c r="AN41" s="45"/>
      <c r="AO41" s="51"/>
      <c r="AP41" s="52" t="s">
        <v>59</v>
      </c>
      <c r="AQ41" s="44"/>
      <c r="AR41" s="44"/>
      <c r="AS41" s="44"/>
      <c r="AT41" s="44"/>
      <c r="AU41" s="53">
        <f t="shared" si="6"/>
        <v>0</v>
      </c>
      <c r="AV41" s="45"/>
      <c r="AW41" s="51"/>
      <c r="AX41" s="52" t="s">
        <v>59</v>
      </c>
      <c r="AY41" s="44"/>
      <c r="AZ41" s="44"/>
      <c r="BA41" s="44"/>
      <c r="BB41" s="44"/>
      <c r="BC41" s="53">
        <f t="shared" si="7"/>
        <v>0</v>
      </c>
      <c r="BD41" s="45"/>
      <c r="BE41" s="38"/>
    </row>
    <row r="42" ht="7.5" customHeight="1">
      <c r="A42" s="5"/>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38"/>
    </row>
    <row r="43">
      <c r="A43" s="5"/>
      <c r="B43" s="54" t="s">
        <v>60</v>
      </c>
      <c r="C43" s="35"/>
      <c r="D43" s="35"/>
      <c r="E43" s="35"/>
      <c r="F43" s="35"/>
      <c r="G43" s="35"/>
      <c r="H43" s="36"/>
      <c r="I43" s="11"/>
      <c r="J43" s="54" t="s">
        <v>60</v>
      </c>
      <c r="K43" s="35"/>
      <c r="L43" s="35"/>
      <c r="M43" s="35"/>
      <c r="N43" s="35"/>
      <c r="O43" s="35"/>
      <c r="P43" s="36"/>
      <c r="Q43" s="11"/>
      <c r="R43" s="54" t="s">
        <v>60</v>
      </c>
      <c r="S43" s="35"/>
      <c r="T43" s="35"/>
      <c r="U43" s="35"/>
      <c r="V43" s="35"/>
      <c r="W43" s="35"/>
      <c r="X43" s="36"/>
      <c r="Y43" s="11"/>
      <c r="Z43" s="54" t="s">
        <v>60</v>
      </c>
      <c r="AA43" s="35"/>
      <c r="AB43" s="35"/>
      <c r="AC43" s="35"/>
      <c r="AD43" s="35"/>
      <c r="AE43" s="35"/>
      <c r="AF43" s="36"/>
      <c r="AG43" s="11"/>
      <c r="AH43" s="54" t="s">
        <v>60</v>
      </c>
      <c r="AI43" s="35"/>
      <c r="AJ43" s="35"/>
      <c r="AK43" s="35"/>
      <c r="AL43" s="35"/>
      <c r="AM43" s="35"/>
      <c r="AN43" s="36"/>
      <c r="AO43" s="11"/>
      <c r="AP43" s="54" t="s">
        <v>60</v>
      </c>
      <c r="AQ43" s="35"/>
      <c r="AR43" s="35"/>
      <c r="AS43" s="35"/>
      <c r="AT43" s="35"/>
      <c r="AU43" s="35"/>
      <c r="AV43" s="36"/>
      <c r="AW43" s="11"/>
      <c r="AX43" s="54" t="s">
        <v>60</v>
      </c>
      <c r="AY43" s="35"/>
      <c r="AZ43" s="35"/>
      <c r="BA43" s="35"/>
      <c r="BB43" s="35"/>
      <c r="BC43" s="35"/>
      <c r="BD43" s="36"/>
      <c r="BE43" s="38"/>
    </row>
    <row r="44">
      <c r="A44" s="5"/>
      <c r="B44" s="55" t="s">
        <v>61</v>
      </c>
      <c r="C44" s="56"/>
      <c r="D44" s="25"/>
      <c r="E44" s="25"/>
      <c r="F44" s="25"/>
      <c r="G44" s="25"/>
      <c r="H44" s="57"/>
      <c r="I44" s="11"/>
      <c r="J44" s="55" t="s">
        <v>61</v>
      </c>
      <c r="K44" s="56"/>
      <c r="L44" s="25"/>
      <c r="M44" s="25"/>
      <c r="N44" s="25"/>
      <c r="O44" s="25"/>
      <c r="P44" s="57"/>
      <c r="Q44" s="11"/>
      <c r="R44" s="55" t="s">
        <v>61</v>
      </c>
      <c r="S44" s="56"/>
      <c r="T44" s="25"/>
      <c r="U44" s="25"/>
      <c r="V44" s="25"/>
      <c r="W44" s="25"/>
      <c r="X44" s="57"/>
      <c r="Y44" s="11"/>
      <c r="Z44" s="55" t="s">
        <v>61</v>
      </c>
      <c r="AA44" s="56"/>
      <c r="AB44" s="25"/>
      <c r="AC44" s="25"/>
      <c r="AD44" s="25"/>
      <c r="AE44" s="25"/>
      <c r="AF44" s="57"/>
      <c r="AG44" s="11"/>
      <c r="AH44" s="55" t="s">
        <v>61</v>
      </c>
      <c r="AI44" s="56"/>
      <c r="AJ44" s="25"/>
      <c r="AK44" s="25"/>
      <c r="AL44" s="25"/>
      <c r="AM44" s="25"/>
      <c r="AN44" s="57"/>
      <c r="AO44" s="11"/>
      <c r="AP44" s="55" t="s">
        <v>61</v>
      </c>
      <c r="AQ44" s="56"/>
      <c r="AR44" s="25"/>
      <c r="AS44" s="25"/>
      <c r="AT44" s="25"/>
      <c r="AU44" s="25"/>
      <c r="AV44" s="57"/>
      <c r="AW44" s="11"/>
      <c r="AX44" s="55" t="s">
        <v>61</v>
      </c>
      <c r="AY44" s="56"/>
      <c r="AZ44" s="25"/>
      <c r="BA44" s="25"/>
      <c r="BB44" s="25"/>
      <c r="BC44" s="25"/>
      <c r="BD44" s="57"/>
      <c r="BE44" s="38"/>
    </row>
    <row r="45">
      <c r="A45" s="5"/>
      <c r="B45" s="55" t="s">
        <v>65</v>
      </c>
      <c r="C45" s="56"/>
      <c r="D45" s="25"/>
      <c r="E45" s="25"/>
      <c r="F45" s="25"/>
      <c r="G45" s="25"/>
      <c r="H45" s="57"/>
      <c r="I45" s="11"/>
      <c r="J45" s="55" t="s">
        <v>65</v>
      </c>
      <c r="K45" s="56"/>
      <c r="L45" s="25"/>
      <c r="M45" s="25"/>
      <c r="N45" s="25"/>
      <c r="O45" s="25"/>
      <c r="P45" s="57"/>
      <c r="Q45" s="11"/>
      <c r="R45" s="55" t="s">
        <v>65</v>
      </c>
      <c r="S45" s="58"/>
      <c r="T45" s="25"/>
      <c r="U45" s="25"/>
      <c r="V45" s="25"/>
      <c r="W45" s="25"/>
      <c r="X45" s="57"/>
      <c r="Y45" s="11"/>
      <c r="Z45" s="55" t="s">
        <v>65</v>
      </c>
      <c r="AA45" s="58"/>
      <c r="AB45" s="25"/>
      <c r="AC45" s="25"/>
      <c r="AD45" s="25"/>
      <c r="AE45" s="25"/>
      <c r="AF45" s="57"/>
      <c r="AG45" s="11"/>
      <c r="AH45" s="55" t="s">
        <v>65</v>
      </c>
      <c r="AI45" s="58"/>
      <c r="AJ45" s="25"/>
      <c r="AK45" s="25"/>
      <c r="AL45" s="25"/>
      <c r="AM45" s="25"/>
      <c r="AN45" s="57"/>
      <c r="AO45" s="11"/>
      <c r="AP45" s="55" t="s">
        <v>65</v>
      </c>
      <c r="AQ45" s="58"/>
      <c r="AR45" s="25"/>
      <c r="AS45" s="25"/>
      <c r="AT45" s="25"/>
      <c r="AU45" s="25"/>
      <c r="AV45" s="57"/>
      <c r="AW45" s="11"/>
      <c r="AX45" s="55" t="s">
        <v>65</v>
      </c>
      <c r="AY45" s="58"/>
      <c r="AZ45" s="25"/>
      <c r="BA45" s="25"/>
      <c r="BB45" s="25"/>
      <c r="BC45" s="25"/>
      <c r="BD45" s="57"/>
      <c r="BE45" s="38"/>
    </row>
    <row r="46">
      <c r="A46" s="5"/>
      <c r="B46" s="55" t="s">
        <v>67</v>
      </c>
      <c r="C46" s="58"/>
      <c r="D46" s="25"/>
      <c r="E46" s="25"/>
      <c r="F46" s="25"/>
      <c r="G46" s="25"/>
      <c r="H46" s="57"/>
      <c r="I46" s="11"/>
      <c r="J46" s="55" t="s">
        <v>67</v>
      </c>
      <c r="K46" s="58"/>
      <c r="L46" s="25"/>
      <c r="M46" s="25"/>
      <c r="N46" s="25"/>
      <c r="O46" s="25"/>
      <c r="P46" s="57"/>
      <c r="Q46" s="11"/>
      <c r="R46" s="55" t="s">
        <v>67</v>
      </c>
      <c r="S46" s="58"/>
      <c r="T46" s="25"/>
      <c r="U46" s="25"/>
      <c r="V46" s="25"/>
      <c r="W46" s="25"/>
      <c r="X46" s="57"/>
      <c r="Y46" s="11"/>
      <c r="Z46" s="55" t="s">
        <v>67</v>
      </c>
      <c r="AA46" s="58"/>
      <c r="AB46" s="25"/>
      <c r="AC46" s="25"/>
      <c r="AD46" s="25"/>
      <c r="AE46" s="25"/>
      <c r="AF46" s="57"/>
      <c r="AG46" s="11"/>
      <c r="AH46" s="55" t="s">
        <v>67</v>
      </c>
      <c r="AI46" s="58"/>
      <c r="AJ46" s="25"/>
      <c r="AK46" s="25"/>
      <c r="AL46" s="25"/>
      <c r="AM46" s="25"/>
      <c r="AN46" s="57"/>
      <c r="AO46" s="11"/>
      <c r="AP46" s="55" t="s">
        <v>67</v>
      </c>
      <c r="AQ46" s="58"/>
      <c r="AR46" s="25"/>
      <c r="AS46" s="25"/>
      <c r="AT46" s="25"/>
      <c r="AU46" s="25"/>
      <c r="AV46" s="57"/>
      <c r="AW46" s="11"/>
      <c r="AX46" s="55" t="s">
        <v>67</v>
      </c>
      <c r="AY46" s="58"/>
      <c r="AZ46" s="25"/>
      <c r="BA46" s="25"/>
      <c r="BB46" s="25"/>
      <c r="BC46" s="25"/>
      <c r="BD46" s="57"/>
      <c r="BE46" s="38"/>
    </row>
    <row r="47">
      <c r="A47" s="5"/>
      <c r="B47" s="59" t="s">
        <v>68</v>
      </c>
      <c r="H47" s="40"/>
      <c r="I47" s="11"/>
      <c r="J47" s="59" t="s">
        <v>68</v>
      </c>
      <c r="P47" s="40"/>
      <c r="Q47" s="11"/>
      <c r="R47" s="59" t="s">
        <v>68</v>
      </c>
      <c r="X47" s="40"/>
      <c r="Y47" s="11"/>
      <c r="Z47" s="59" t="s">
        <v>68</v>
      </c>
      <c r="AF47" s="40"/>
      <c r="AG47" s="11"/>
      <c r="AH47" s="59" t="s">
        <v>68</v>
      </c>
      <c r="AN47" s="40"/>
      <c r="AO47" s="11"/>
      <c r="AP47" s="59" t="s">
        <v>68</v>
      </c>
      <c r="AV47" s="40"/>
      <c r="AW47" s="11"/>
      <c r="AX47" s="59" t="s">
        <v>68</v>
      </c>
      <c r="BD47" s="40"/>
      <c r="BE47" s="38"/>
    </row>
    <row r="48">
      <c r="A48" s="5"/>
      <c r="B48" s="55" t="s">
        <v>61</v>
      </c>
      <c r="C48" s="56"/>
      <c r="D48" s="25"/>
      <c r="E48" s="25"/>
      <c r="F48" s="25"/>
      <c r="G48" s="25"/>
      <c r="H48" s="57"/>
      <c r="I48" s="11"/>
      <c r="J48" s="55" t="s">
        <v>61</v>
      </c>
      <c r="K48" s="56"/>
      <c r="L48" s="25"/>
      <c r="M48" s="25"/>
      <c r="N48" s="25"/>
      <c r="O48" s="25"/>
      <c r="P48" s="57"/>
      <c r="Q48" s="11"/>
      <c r="R48" s="55" t="s">
        <v>61</v>
      </c>
      <c r="S48" s="56"/>
      <c r="T48" s="25"/>
      <c r="U48" s="25"/>
      <c r="V48" s="25"/>
      <c r="W48" s="25"/>
      <c r="X48" s="57"/>
      <c r="Y48" s="11"/>
      <c r="Z48" s="55" t="s">
        <v>61</v>
      </c>
      <c r="AA48" s="56"/>
      <c r="AB48" s="25"/>
      <c r="AC48" s="25"/>
      <c r="AD48" s="25"/>
      <c r="AE48" s="25"/>
      <c r="AF48" s="57"/>
      <c r="AG48" s="11"/>
      <c r="AH48" s="55" t="s">
        <v>61</v>
      </c>
      <c r="AI48" s="56"/>
      <c r="AJ48" s="25"/>
      <c r="AK48" s="25"/>
      <c r="AL48" s="25"/>
      <c r="AM48" s="25"/>
      <c r="AN48" s="57"/>
      <c r="AO48" s="11"/>
      <c r="AP48" s="55" t="s">
        <v>61</v>
      </c>
      <c r="AQ48" s="56"/>
      <c r="AR48" s="25"/>
      <c r="AS48" s="25"/>
      <c r="AT48" s="25"/>
      <c r="AU48" s="25"/>
      <c r="AV48" s="57"/>
      <c r="AW48" s="11"/>
      <c r="AX48" s="55" t="s">
        <v>61</v>
      </c>
      <c r="AY48" s="56"/>
      <c r="AZ48" s="25"/>
      <c r="BA48" s="25"/>
      <c r="BB48" s="25"/>
      <c r="BC48" s="25"/>
      <c r="BD48" s="57"/>
      <c r="BE48" s="38"/>
    </row>
    <row r="49">
      <c r="A49" s="5"/>
      <c r="B49" s="55" t="s">
        <v>65</v>
      </c>
      <c r="C49" s="56"/>
      <c r="D49" s="25"/>
      <c r="E49" s="25"/>
      <c r="F49" s="25"/>
      <c r="G49" s="25"/>
      <c r="H49" s="57"/>
      <c r="I49" s="11"/>
      <c r="J49" s="55" t="s">
        <v>65</v>
      </c>
      <c r="K49" s="56"/>
      <c r="L49" s="25"/>
      <c r="M49" s="25"/>
      <c r="N49" s="25"/>
      <c r="O49" s="25"/>
      <c r="P49" s="57"/>
      <c r="Q49" s="11"/>
      <c r="R49" s="55" t="s">
        <v>65</v>
      </c>
      <c r="S49" s="58"/>
      <c r="T49" s="25"/>
      <c r="U49" s="25"/>
      <c r="V49" s="25"/>
      <c r="W49" s="25"/>
      <c r="X49" s="57"/>
      <c r="Y49" s="11"/>
      <c r="Z49" s="55" t="s">
        <v>65</v>
      </c>
      <c r="AA49" s="58"/>
      <c r="AB49" s="25"/>
      <c r="AC49" s="25"/>
      <c r="AD49" s="25"/>
      <c r="AE49" s="25"/>
      <c r="AF49" s="57"/>
      <c r="AG49" s="11"/>
      <c r="AH49" s="55" t="s">
        <v>65</v>
      </c>
      <c r="AI49" s="58"/>
      <c r="AJ49" s="25"/>
      <c r="AK49" s="25"/>
      <c r="AL49" s="25"/>
      <c r="AM49" s="25"/>
      <c r="AN49" s="57"/>
      <c r="AO49" s="11"/>
      <c r="AP49" s="55" t="s">
        <v>65</v>
      </c>
      <c r="AQ49" s="58"/>
      <c r="AR49" s="25"/>
      <c r="AS49" s="25"/>
      <c r="AT49" s="25"/>
      <c r="AU49" s="25"/>
      <c r="AV49" s="57"/>
      <c r="AW49" s="11"/>
      <c r="AX49" s="55" t="s">
        <v>65</v>
      </c>
      <c r="AY49" s="58"/>
      <c r="AZ49" s="25"/>
      <c r="BA49" s="25"/>
      <c r="BB49" s="25"/>
      <c r="BC49" s="25"/>
      <c r="BD49" s="57"/>
      <c r="BE49" s="38"/>
    </row>
    <row r="50">
      <c r="A50" s="5"/>
      <c r="B50" s="55" t="s">
        <v>67</v>
      </c>
      <c r="C50" s="58"/>
      <c r="D50" s="25"/>
      <c r="E50" s="25"/>
      <c r="F50" s="25"/>
      <c r="G50" s="25"/>
      <c r="H50" s="57"/>
      <c r="I50" s="11"/>
      <c r="J50" s="55" t="s">
        <v>67</v>
      </c>
      <c r="K50" s="58"/>
      <c r="L50" s="25"/>
      <c r="M50" s="25"/>
      <c r="N50" s="25"/>
      <c r="O50" s="25"/>
      <c r="P50" s="57"/>
      <c r="Q50" s="11"/>
      <c r="R50" s="55" t="s">
        <v>67</v>
      </c>
      <c r="S50" s="58"/>
      <c r="T50" s="25"/>
      <c r="U50" s="25"/>
      <c r="V50" s="25"/>
      <c r="W50" s="25"/>
      <c r="X50" s="57"/>
      <c r="Y50" s="11"/>
      <c r="Z50" s="55" t="s">
        <v>67</v>
      </c>
      <c r="AA50" s="58"/>
      <c r="AB50" s="25"/>
      <c r="AC50" s="25"/>
      <c r="AD50" s="25"/>
      <c r="AE50" s="25"/>
      <c r="AF50" s="57"/>
      <c r="AG50" s="11"/>
      <c r="AH50" s="55" t="s">
        <v>67</v>
      </c>
      <c r="AI50" s="58"/>
      <c r="AJ50" s="25"/>
      <c r="AK50" s="25"/>
      <c r="AL50" s="25"/>
      <c r="AM50" s="25"/>
      <c r="AN50" s="57"/>
      <c r="AO50" s="11"/>
      <c r="AP50" s="55" t="s">
        <v>67</v>
      </c>
      <c r="AQ50" s="58"/>
      <c r="AR50" s="25"/>
      <c r="AS50" s="25"/>
      <c r="AT50" s="25"/>
      <c r="AU50" s="25"/>
      <c r="AV50" s="57"/>
      <c r="AW50" s="11"/>
      <c r="AX50" s="55" t="s">
        <v>67</v>
      </c>
      <c r="AY50" s="58"/>
      <c r="AZ50" s="25"/>
      <c r="BA50" s="25"/>
      <c r="BB50" s="25"/>
      <c r="BC50" s="25"/>
      <c r="BD50" s="57"/>
      <c r="BE50" s="38"/>
    </row>
    <row r="51">
      <c r="A51" s="5"/>
      <c r="B51" s="59" t="s">
        <v>74</v>
      </c>
      <c r="H51" s="40"/>
      <c r="I51" s="11"/>
      <c r="J51" s="59" t="s">
        <v>74</v>
      </c>
      <c r="P51" s="40"/>
      <c r="Q51" s="11"/>
      <c r="R51" s="59" t="s">
        <v>74</v>
      </c>
      <c r="X51" s="40"/>
      <c r="Y51" s="11"/>
      <c r="Z51" s="59" t="s">
        <v>74</v>
      </c>
      <c r="AF51" s="40"/>
      <c r="AG51" s="11"/>
      <c r="AH51" s="59" t="s">
        <v>74</v>
      </c>
      <c r="AN51" s="40"/>
      <c r="AO51" s="11"/>
      <c r="AP51" s="59" t="s">
        <v>74</v>
      </c>
      <c r="AV51" s="40"/>
      <c r="AW51" s="11"/>
      <c r="AX51" s="59" t="s">
        <v>74</v>
      </c>
      <c r="BD51" s="40"/>
      <c r="BE51" s="38"/>
    </row>
    <row r="52">
      <c r="A52" s="5"/>
      <c r="B52" s="55" t="s">
        <v>61</v>
      </c>
      <c r="C52" s="56"/>
      <c r="D52" s="25"/>
      <c r="E52" s="25"/>
      <c r="F52" s="25"/>
      <c r="G52" s="25"/>
      <c r="H52" s="57"/>
      <c r="I52" s="11"/>
      <c r="J52" s="55" t="s">
        <v>61</v>
      </c>
      <c r="K52" s="56"/>
      <c r="L52" s="25"/>
      <c r="M52" s="25"/>
      <c r="N52" s="25"/>
      <c r="O52" s="25"/>
      <c r="P52" s="57"/>
      <c r="Q52" s="11"/>
      <c r="R52" s="55" t="s">
        <v>61</v>
      </c>
      <c r="S52" s="56"/>
      <c r="T52" s="25"/>
      <c r="U52" s="25"/>
      <c r="V52" s="25"/>
      <c r="W52" s="25"/>
      <c r="X52" s="57"/>
      <c r="Y52" s="11"/>
      <c r="Z52" s="55" t="s">
        <v>61</v>
      </c>
      <c r="AA52" s="56"/>
      <c r="AB52" s="25"/>
      <c r="AC52" s="25"/>
      <c r="AD52" s="25"/>
      <c r="AE52" s="25"/>
      <c r="AF52" s="57"/>
      <c r="AG52" s="11"/>
      <c r="AH52" s="55" t="s">
        <v>61</v>
      </c>
      <c r="AI52" s="56"/>
      <c r="AJ52" s="25"/>
      <c r="AK52" s="25"/>
      <c r="AL52" s="25"/>
      <c r="AM52" s="25"/>
      <c r="AN52" s="57"/>
      <c r="AO52" s="11"/>
      <c r="AP52" s="55" t="s">
        <v>61</v>
      </c>
      <c r="AQ52" s="56"/>
      <c r="AR52" s="25"/>
      <c r="AS52" s="25"/>
      <c r="AT52" s="25"/>
      <c r="AU52" s="25"/>
      <c r="AV52" s="57"/>
      <c r="AW52" s="11"/>
      <c r="AX52" s="55" t="s">
        <v>61</v>
      </c>
      <c r="AY52" s="56"/>
      <c r="AZ52" s="25"/>
      <c r="BA52" s="25"/>
      <c r="BB52" s="25"/>
      <c r="BC52" s="25"/>
      <c r="BD52" s="57"/>
      <c r="BE52" s="38"/>
    </row>
    <row r="53">
      <c r="A53" s="5"/>
      <c r="B53" s="55" t="s">
        <v>65</v>
      </c>
      <c r="C53" s="56"/>
      <c r="D53" s="25"/>
      <c r="E53" s="25"/>
      <c r="F53" s="25"/>
      <c r="G53" s="25"/>
      <c r="H53" s="57"/>
      <c r="I53" s="11"/>
      <c r="J53" s="55" t="s">
        <v>65</v>
      </c>
      <c r="K53" s="58"/>
      <c r="L53" s="25"/>
      <c r="M53" s="25"/>
      <c r="N53" s="25"/>
      <c r="O53" s="25"/>
      <c r="P53" s="57"/>
      <c r="Q53" s="11"/>
      <c r="R53" s="55" t="s">
        <v>65</v>
      </c>
      <c r="S53" s="58"/>
      <c r="T53" s="25"/>
      <c r="U53" s="25"/>
      <c r="V53" s="25"/>
      <c r="W53" s="25"/>
      <c r="X53" s="57"/>
      <c r="Y53" s="11"/>
      <c r="Z53" s="55" t="s">
        <v>65</v>
      </c>
      <c r="AA53" s="58"/>
      <c r="AB53" s="25"/>
      <c r="AC53" s="25"/>
      <c r="AD53" s="25"/>
      <c r="AE53" s="25"/>
      <c r="AF53" s="57"/>
      <c r="AG53" s="11"/>
      <c r="AH53" s="55" t="s">
        <v>65</v>
      </c>
      <c r="AI53" s="58"/>
      <c r="AJ53" s="25"/>
      <c r="AK53" s="25"/>
      <c r="AL53" s="25"/>
      <c r="AM53" s="25"/>
      <c r="AN53" s="57"/>
      <c r="AO53" s="11"/>
      <c r="AP53" s="55" t="s">
        <v>65</v>
      </c>
      <c r="AQ53" s="58"/>
      <c r="AR53" s="25"/>
      <c r="AS53" s="25"/>
      <c r="AT53" s="25"/>
      <c r="AU53" s="25"/>
      <c r="AV53" s="57"/>
      <c r="AW53" s="11"/>
      <c r="AX53" s="55" t="s">
        <v>65</v>
      </c>
      <c r="AY53" s="58"/>
      <c r="AZ53" s="25"/>
      <c r="BA53" s="25"/>
      <c r="BB53" s="25"/>
      <c r="BC53" s="25"/>
      <c r="BD53" s="57"/>
      <c r="BE53" s="5"/>
    </row>
    <row r="54">
      <c r="A54" s="5"/>
      <c r="B54" s="55" t="s">
        <v>67</v>
      </c>
      <c r="C54" s="58"/>
      <c r="D54" s="25"/>
      <c r="E54" s="25"/>
      <c r="F54" s="25"/>
      <c r="G54" s="25"/>
      <c r="H54" s="57"/>
      <c r="I54" s="11"/>
      <c r="J54" s="55" t="s">
        <v>67</v>
      </c>
      <c r="K54" s="58"/>
      <c r="L54" s="25"/>
      <c r="M54" s="25"/>
      <c r="N54" s="25"/>
      <c r="O54" s="25"/>
      <c r="P54" s="57"/>
      <c r="Q54" s="11"/>
      <c r="R54" s="55" t="s">
        <v>67</v>
      </c>
      <c r="S54" s="58"/>
      <c r="T54" s="25"/>
      <c r="U54" s="25"/>
      <c r="V54" s="25"/>
      <c r="W54" s="25"/>
      <c r="X54" s="57"/>
      <c r="Y54" s="11"/>
      <c r="Z54" s="55" t="s">
        <v>67</v>
      </c>
      <c r="AA54" s="58"/>
      <c r="AB54" s="25"/>
      <c r="AC54" s="25"/>
      <c r="AD54" s="25"/>
      <c r="AE54" s="25"/>
      <c r="AF54" s="57"/>
      <c r="AG54" s="11"/>
      <c r="AH54" s="55" t="s">
        <v>67</v>
      </c>
      <c r="AI54" s="58"/>
      <c r="AJ54" s="25"/>
      <c r="AK54" s="25"/>
      <c r="AL54" s="25"/>
      <c r="AM54" s="25"/>
      <c r="AN54" s="57"/>
      <c r="AO54" s="11"/>
      <c r="AP54" s="55" t="s">
        <v>67</v>
      </c>
      <c r="AQ54" s="58"/>
      <c r="AR54" s="25"/>
      <c r="AS54" s="25"/>
      <c r="AT54" s="25"/>
      <c r="AU54" s="25"/>
      <c r="AV54" s="57"/>
      <c r="AW54" s="11"/>
      <c r="AX54" s="55" t="s">
        <v>67</v>
      </c>
      <c r="AY54" s="58"/>
      <c r="AZ54" s="25"/>
      <c r="BA54" s="25"/>
      <c r="BB54" s="25"/>
      <c r="BC54" s="25"/>
      <c r="BD54" s="57"/>
      <c r="BE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row>
    <row r="57" hidden="1"/>
    <row r="58" hidden="1">
      <c r="B58" s="60" t="s">
        <v>79</v>
      </c>
      <c r="C58" s="60"/>
      <c r="D58" s="60"/>
      <c r="E58" s="60" t="s">
        <v>80</v>
      </c>
      <c r="F58" s="60"/>
      <c r="G58" s="60"/>
      <c r="H58" s="60" t="s">
        <v>81</v>
      </c>
      <c r="I58" s="60"/>
      <c r="J58" s="60"/>
      <c r="K58" s="60"/>
      <c r="L58" s="60" t="s">
        <v>82</v>
      </c>
      <c r="M58" s="60"/>
      <c r="N58" s="60"/>
      <c r="O58" s="60" t="s">
        <v>83</v>
      </c>
      <c r="P58" s="60"/>
      <c r="Q58" s="60"/>
      <c r="R58" s="60"/>
      <c r="S58" s="60" t="s">
        <v>84</v>
      </c>
      <c r="T58" s="60"/>
      <c r="U58" s="60"/>
      <c r="V58" s="60" t="s">
        <v>85</v>
      </c>
      <c r="W58" s="60"/>
      <c r="Z58" s="61" t="s">
        <v>86</v>
      </c>
    </row>
    <row r="59" hidden="1">
      <c r="B59" s="60" t="s">
        <v>87</v>
      </c>
      <c r="C59" s="60" t="s">
        <v>88</v>
      </c>
      <c r="D59" s="60"/>
      <c r="E59" s="60" t="s">
        <v>87</v>
      </c>
      <c r="F59" s="60" t="s">
        <v>88</v>
      </c>
      <c r="G59" s="60"/>
      <c r="H59" s="60" t="s">
        <v>87</v>
      </c>
      <c r="I59" s="60"/>
      <c r="J59" s="60" t="s">
        <v>88</v>
      </c>
      <c r="K59" s="60"/>
      <c r="L59" s="60" t="s">
        <v>87</v>
      </c>
      <c r="M59" s="60" t="s">
        <v>88</v>
      </c>
      <c r="N59" s="60"/>
      <c r="O59" s="60" t="s">
        <v>87</v>
      </c>
      <c r="P59" s="60" t="s">
        <v>88</v>
      </c>
      <c r="Q59" s="60"/>
      <c r="R59" s="60"/>
      <c r="S59" s="60" t="s">
        <v>87</v>
      </c>
      <c r="T59" s="60" t="s">
        <v>88</v>
      </c>
      <c r="U59" s="60"/>
      <c r="V59" s="60" t="s">
        <v>87</v>
      </c>
      <c r="W59" s="60" t="s">
        <v>88</v>
      </c>
    </row>
    <row r="60" hidden="1">
      <c r="B60" s="60" t="s">
        <v>89</v>
      </c>
      <c r="C60" s="62">
        <f>COUNTIF(H25:H39,TRUE)</f>
        <v>0</v>
      </c>
      <c r="D60" s="60"/>
      <c r="E60" s="60" t="s">
        <v>89</v>
      </c>
      <c r="F60" s="62">
        <f>COUNTIF(P25:P39,TRUE)</f>
        <v>0</v>
      </c>
      <c r="G60" s="60"/>
      <c r="H60" s="60" t="s">
        <v>89</v>
      </c>
      <c r="I60" s="60"/>
      <c r="J60" s="62">
        <f>COUNTIF(X25:X39,TRUE)</f>
        <v>0</v>
      </c>
      <c r="K60" s="60"/>
      <c r="L60" s="60" t="s">
        <v>89</v>
      </c>
      <c r="M60" s="62">
        <f>COUNTIF(AF25:AF39,TRUE)</f>
        <v>0</v>
      </c>
      <c r="N60" s="60"/>
      <c r="O60" s="60" t="s">
        <v>89</v>
      </c>
      <c r="P60" s="62">
        <f>COUNTIF(AN25:AN39,TRUE)</f>
        <v>0</v>
      </c>
      <c r="Q60" s="60"/>
      <c r="R60" s="60"/>
      <c r="S60" s="60" t="s">
        <v>89</v>
      </c>
      <c r="T60" s="62">
        <f>COUNTIF(AV25:AV39,TRUE)</f>
        <v>0</v>
      </c>
      <c r="U60" s="60"/>
      <c r="V60" s="60" t="s">
        <v>89</v>
      </c>
      <c r="W60" s="62">
        <f>COUNTIF(BD25:BCW39,TRUE)</f>
        <v>0</v>
      </c>
    </row>
    <row r="61" hidden="1">
      <c r="B61" s="60" t="s">
        <v>90</v>
      </c>
      <c r="C61" s="62">
        <f>IF(COUNTA(B25:G39)-C60&lt;0,0,COUNTA(B25:G39)-C60)</f>
        <v>0</v>
      </c>
      <c r="D61" s="60"/>
      <c r="E61" s="60" t="s">
        <v>90</v>
      </c>
      <c r="F61" s="62">
        <f>IF(COUNTA(J25:O39)-F60&lt;0,0,COUNTA(J25:O39)-F60)</f>
        <v>0</v>
      </c>
      <c r="G61" s="60"/>
      <c r="H61" s="60" t="s">
        <v>90</v>
      </c>
      <c r="I61" s="60"/>
      <c r="J61" s="62">
        <f>IF(COUNTA(R25:W39)-J60&lt;0,0,COUNTA(R25:W39)-J60)</f>
        <v>0</v>
      </c>
      <c r="K61" s="60"/>
      <c r="L61" s="60" t="s">
        <v>90</v>
      </c>
      <c r="M61" s="62">
        <f>IF(COUNTA(Z25:AE39)-M60&lt;0,0,COUNTA(Z25:AE39)-M60)</f>
        <v>0</v>
      </c>
      <c r="N61" s="60"/>
      <c r="O61" s="60" t="s">
        <v>90</v>
      </c>
      <c r="P61" s="62">
        <f>IF(COUNTA(AH25:AM39)-P60&lt;0,0,COUNTA(AH25:AM39)-P60)</f>
        <v>0</v>
      </c>
      <c r="Q61" s="60"/>
      <c r="R61" s="60"/>
      <c r="S61" s="60" t="s">
        <v>90</v>
      </c>
      <c r="T61" s="62">
        <f>IF(COUNTA(AP25:AU39)-T60&lt;0,0,COUNTA(AP25:AU39)-T60)</f>
        <v>0</v>
      </c>
      <c r="U61" s="60"/>
      <c r="V61" s="60" t="s">
        <v>90</v>
      </c>
      <c r="W61" s="62">
        <f>IF(COUNTA(AX25:BC39)-W60&lt;0,0,COUNTA(AX25:BC39)-W60)</f>
        <v>0</v>
      </c>
    </row>
    <row r="62" hidden="1"/>
    <row r="63" hidden="1">
      <c r="B63" s="63" t="s">
        <v>91</v>
      </c>
      <c r="C63" s="60"/>
    </row>
    <row r="64" hidden="1">
      <c r="B64" s="60" t="s">
        <v>87</v>
      </c>
      <c r="C64" s="60" t="s">
        <v>88</v>
      </c>
    </row>
    <row r="65" hidden="1">
      <c r="B65" s="60" t="s">
        <v>89</v>
      </c>
      <c r="C65" s="64">
        <f>C60+F60+J60+M60+P60+T60+W60</f>
        <v>0</v>
      </c>
    </row>
    <row r="66" hidden="1">
      <c r="B66" s="60" t="s">
        <v>90</v>
      </c>
      <c r="C66" s="64">
        <f>COUNTA(B25:G39,J25:O39,R25:W39,Z25:AE39,AH25:AM39,AP25:AU39,AX25:BC39)-C65</f>
        <v>0</v>
      </c>
    </row>
    <row r="67" hidden="1"/>
    <row r="68" hidden="1">
      <c r="B68" s="63" t="s">
        <v>92</v>
      </c>
      <c r="C68" s="60"/>
      <c r="D68" s="60"/>
      <c r="E68" s="60"/>
    </row>
    <row r="69" hidden="1">
      <c r="B69" s="60" t="s">
        <v>93</v>
      </c>
      <c r="C69" s="60" t="s">
        <v>93</v>
      </c>
      <c r="D69" s="60" t="s">
        <v>89</v>
      </c>
      <c r="E69" s="60" t="s">
        <v>90</v>
      </c>
    </row>
    <row r="70" hidden="1">
      <c r="B70" s="60" t="s">
        <v>79</v>
      </c>
      <c r="C70" s="60" t="str">
        <f>TEXT(B15,"ddd")</f>
        <v>Sat</v>
      </c>
      <c r="D70" s="64">
        <f>C60</f>
        <v>0</v>
      </c>
      <c r="E70" s="64">
        <f>C61</f>
        <v>0</v>
      </c>
    </row>
    <row r="71" hidden="1">
      <c r="B71" s="60" t="s">
        <v>80</v>
      </c>
      <c r="C71" s="60" t="str">
        <f>TEXT(J15,"ddd")</f>
        <v>Sun</v>
      </c>
      <c r="D71" s="64">
        <f>F60</f>
        <v>0</v>
      </c>
      <c r="E71" s="64">
        <f>F61</f>
        <v>0</v>
      </c>
    </row>
    <row r="72" hidden="1">
      <c r="B72" s="60" t="s">
        <v>81</v>
      </c>
      <c r="C72" s="60" t="str">
        <f>TEXT(R15,"ddd")</f>
        <v>Mon</v>
      </c>
      <c r="D72" s="64">
        <f>J60</f>
        <v>0</v>
      </c>
      <c r="E72" s="64">
        <f>J61</f>
        <v>0</v>
      </c>
    </row>
    <row r="73" hidden="1">
      <c r="B73" s="60" t="s">
        <v>82</v>
      </c>
      <c r="C73" s="60" t="str">
        <f>TEXT(Z15,"ddd")</f>
        <v>Tue</v>
      </c>
      <c r="D73" s="64">
        <f>M60</f>
        <v>0</v>
      </c>
      <c r="E73" s="64">
        <f>M61</f>
        <v>0</v>
      </c>
    </row>
    <row r="74" hidden="1">
      <c r="B74" s="60" t="s">
        <v>83</v>
      </c>
      <c r="C74" s="60" t="str">
        <f>TEXT(AH15,"ddd")</f>
        <v>Wed</v>
      </c>
      <c r="D74" s="64">
        <f>P60</f>
        <v>0</v>
      </c>
      <c r="E74" s="64">
        <f>P61</f>
        <v>0</v>
      </c>
    </row>
    <row r="75" hidden="1">
      <c r="B75" s="60" t="s">
        <v>84</v>
      </c>
      <c r="C75" s="60" t="str">
        <f>TEXT(AP15,"ddd")</f>
        <v>Thu</v>
      </c>
      <c r="D75" s="64">
        <f>T60</f>
        <v>0</v>
      </c>
      <c r="E75" s="64">
        <f>T61</f>
        <v>0</v>
      </c>
    </row>
    <row r="76" hidden="1">
      <c r="B76" s="60" t="s">
        <v>85</v>
      </c>
      <c r="C76" s="60" t="str">
        <f>TEXT(AX15,"ddd")</f>
        <v>Fri</v>
      </c>
      <c r="D76" s="64">
        <f>W60</f>
        <v>0</v>
      </c>
      <c r="E76" s="64">
        <f>W61</f>
        <v>0</v>
      </c>
    </row>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mergeCells count="278">
    <mergeCell ref="AP37:AU37"/>
    <mergeCell ref="AP38:AU38"/>
    <mergeCell ref="AP30:AU30"/>
    <mergeCell ref="AP31:AU31"/>
    <mergeCell ref="AP32:AU32"/>
    <mergeCell ref="AP33:AU33"/>
    <mergeCell ref="AP34:AU34"/>
    <mergeCell ref="AP35:AU35"/>
    <mergeCell ref="AP36:AU36"/>
    <mergeCell ref="Z24:AF24"/>
    <mergeCell ref="Z25:AE25"/>
    <mergeCell ref="R26:W26"/>
    <mergeCell ref="AH26:AM26"/>
    <mergeCell ref="AX26:BC26"/>
    <mergeCell ref="AH27:AM27"/>
    <mergeCell ref="AX27:BC27"/>
    <mergeCell ref="R27:W27"/>
    <mergeCell ref="R28:W28"/>
    <mergeCell ref="Z28:AE28"/>
    <mergeCell ref="AH28:AM28"/>
    <mergeCell ref="R29:W29"/>
    <mergeCell ref="AH29:AM29"/>
    <mergeCell ref="AH30:AM30"/>
    <mergeCell ref="AP26:AU26"/>
    <mergeCell ref="AP27:AU27"/>
    <mergeCell ref="AP28:AU28"/>
    <mergeCell ref="AX28:BC28"/>
    <mergeCell ref="AP29:AU29"/>
    <mergeCell ref="AX29:BC29"/>
    <mergeCell ref="AX30:BC30"/>
    <mergeCell ref="R30:W30"/>
    <mergeCell ref="R31:W31"/>
    <mergeCell ref="R32:W32"/>
    <mergeCell ref="R33:W33"/>
    <mergeCell ref="R34:W34"/>
    <mergeCell ref="R35:W35"/>
    <mergeCell ref="R36:W36"/>
    <mergeCell ref="AH38:AM38"/>
    <mergeCell ref="AH39:AM39"/>
    <mergeCell ref="AP39:AU39"/>
    <mergeCell ref="AH31:AM31"/>
    <mergeCell ref="AH32:AM32"/>
    <mergeCell ref="AH33:AM33"/>
    <mergeCell ref="AH34:AM34"/>
    <mergeCell ref="AH35:AM35"/>
    <mergeCell ref="AH36:AM36"/>
    <mergeCell ref="AH37:AM37"/>
    <mergeCell ref="Z40:AD40"/>
    <mergeCell ref="AE40:AF40"/>
    <mergeCell ref="AH40:AL40"/>
    <mergeCell ref="AM40:AN40"/>
    <mergeCell ref="AP40:AT40"/>
    <mergeCell ref="AU40:AV40"/>
    <mergeCell ref="AX40:BB40"/>
    <mergeCell ref="J47:P47"/>
    <mergeCell ref="K48:P48"/>
    <mergeCell ref="B43:H43"/>
    <mergeCell ref="C44:H44"/>
    <mergeCell ref="C45:H45"/>
    <mergeCell ref="C46:H46"/>
    <mergeCell ref="K46:P46"/>
    <mergeCell ref="B47:H47"/>
    <mergeCell ref="C48:H48"/>
    <mergeCell ref="C52:H52"/>
    <mergeCell ref="C53:H53"/>
    <mergeCell ref="C54:H54"/>
    <mergeCell ref="C49:H49"/>
    <mergeCell ref="K49:P49"/>
    <mergeCell ref="C50:H50"/>
    <mergeCell ref="K50:P50"/>
    <mergeCell ref="B51:H51"/>
    <mergeCell ref="J51:P51"/>
    <mergeCell ref="K52:P52"/>
    <mergeCell ref="B2:K9"/>
    <mergeCell ref="B10:F11"/>
    <mergeCell ref="G10:K11"/>
    <mergeCell ref="B13:H14"/>
    <mergeCell ref="J13:P14"/>
    <mergeCell ref="B15:H15"/>
    <mergeCell ref="B16:H22"/>
    <mergeCell ref="B25:G25"/>
    <mergeCell ref="J25:O25"/>
    <mergeCell ref="B26:G26"/>
    <mergeCell ref="J26:O26"/>
    <mergeCell ref="B27:G27"/>
    <mergeCell ref="J27:O27"/>
    <mergeCell ref="J28:O28"/>
    <mergeCell ref="B28:G28"/>
    <mergeCell ref="B29:G29"/>
    <mergeCell ref="B30:G30"/>
    <mergeCell ref="B31:G31"/>
    <mergeCell ref="B32:G32"/>
    <mergeCell ref="B33:G33"/>
    <mergeCell ref="B34:G34"/>
    <mergeCell ref="J29:O29"/>
    <mergeCell ref="J30:O30"/>
    <mergeCell ref="J31:O31"/>
    <mergeCell ref="J32:O32"/>
    <mergeCell ref="J33:O33"/>
    <mergeCell ref="J34:O34"/>
    <mergeCell ref="J35:O35"/>
    <mergeCell ref="B41:F41"/>
    <mergeCell ref="G41:H41"/>
    <mergeCell ref="J41:N41"/>
    <mergeCell ref="O41:P41"/>
    <mergeCell ref="B35:G35"/>
    <mergeCell ref="B36:G36"/>
    <mergeCell ref="B37:G37"/>
    <mergeCell ref="B38:G38"/>
    <mergeCell ref="B39:G39"/>
    <mergeCell ref="B40:F40"/>
    <mergeCell ref="G40:H40"/>
    <mergeCell ref="K53:P53"/>
    <mergeCell ref="K54:P54"/>
    <mergeCell ref="R51:X51"/>
    <mergeCell ref="Z51:AF51"/>
    <mergeCell ref="AH51:AN51"/>
    <mergeCell ref="AP51:AV51"/>
    <mergeCell ref="AA52:AF52"/>
    <mergeCell ref="AI52:AN52"/>
    <mergeCell ref="AQ52:AV52"/>
    <mergeCell ref="S52:X52"/>
    <mergeCell ref="S53:X53"/>
    <mergeCell ref="AA53:AF53"/>
    <mergeCell ref="AI53:AN53"/>
    <mergeCell ref="S54:X54"/>
    <mergeCell ref="AA54:AF54"/>
    <mergeCell ref="AI54:AN54"/>
    <mergeCell ref="R41:V41"/>
    <mergeCell ref="W41:X41"/>
    <mergeCell ref="Z41:AD41"/>
    <mergeCell ref="AE41:AF41"/>
    <mergeCell ref="AH41:AL41"/>
    <mergeCell ref="AM41:AN41"/>
    <mergeCell ref="AP41:AT41"/>
    <mergeCell ref="AU41:AV41"/>
    <mergeCell ref="R37:W37"/>
    <mergeCell ref="R38:W38"/>
    <mergeCell ref="Z38:AE38"/>
    <mergeCell ref="R39:W39"/>
    <mergeCell ref="Z39:AE39"/>
    <mergeCell ref="R40:V40"/>
    <mergeCell ref="W40:X40"/>
    <mergeCell ref="R43:X43"/>
    <mergeCell ref="Z43:AF43"/>
    <mergeCell ref="AH43:AN43"/>
    <mergeCell ref="AP43:AV43"/>
    <mergeCell ref="AA44:AF44"/>
    <mergeCell ref="AI44:AN44"/>
    <mergeCell ref="AQ44:AV44"/>
    <mergeCell ref="AQ45:AV45"/>
    <mergeCell ref="AQ46:AV46"/>
    <mergeCell ref="S44:X44"/>
    <mergeCell ref="S45:X45"/>
    <mergeCell ref="AA45:AF45"/>
    <mergeCell ref="AI45:AN45"/>
    <mergeCell ref="S46:X46"/>
    <mergeCell ref="AA46:AF46"/>
    <mergeCell ref="AI46:AN46"/>
    <mergeCell ref="AQ49:AV49"/>
    <mergeCell ref="AQ50:AV50"/>
    <mergeCell ref="AQ53:AV53"/>
    <mergeCell ref="AQ54:AV54"/>
    <mergeCell ref="AW4:BB4"/>
    <mergeCell ref="BC4:BD4"/>
    <mergeCell ref="AJ5:AO5"/>
    <mergeCell ref="AW5:BB5"/>
    <mergeCell ref="AJ4:AO4"/>
    <mergeCell ref="AJ6:AO6"/>
    <mergeCell ref="AW6:BB6"/>
    <mergeCell ref="BC6:BD6"/>
    <mergeCell ref="AJ7:AO7"/>
    <mergeCell ref="AW7:BB7"/>
    <mergeCell ref="AW8:BB8"/>
    <mergeCell ref="BC8:BD8"/>
    <mergeCell ref="AJ9:AO9"/>
    <mergeCell ref="AW9:BB9"/>
    <mergeCell ref="AP24:AV24"/>
    <mergeCell ref="AP25:AU25"/>
    <mergeCell ref="B24:H24"/>
    <mergeCell ref="J24:P24"/>
    <mergeCell ref="R24:X24"/>
    <mergeCell ref="AH24:AN24"/>
    <mergeCell ref="AX24:BD24"/>
    <mergeCell ref="R25:W25"/>
    <mergeCell ref="AH25:AM25"/>
    <mergeCell ref="AX25:BC25"/>
    <mergeCell ref="AJ3:AO3"/>
    <mergeCell ref="AJ8:AO8"/>
    <mergeCell ref="AJ11:AO11"/>
    <mergeCell ref="M2:AH2"/>
    <mergeCell ref="AJ2:BD2"/>
    <mergeCell ref="AB3:AH9"/>
    <mergeCell ref="AW3:BD3"/>
    <mergeCell ref="BC5:BD5"/>
    <mergeCell ref="BC7:BD7"/>
    <mergeCell ref="BC9:BD9"/>
    <mergeCell ref="AH13:AN14"/>
    <mergeCell ref="AP13:AV14"/>
    <mergeCell ref="AH15:AN15"/>
    <mergeCell ref="AP15:AV15"/>
    <mergeCell ref="AX15:BD15"/>
    <mergeCell ref="AB10:AH10"/>
    <mergeCell ref="AJ10:AO10"/>
    <mergeCell ref="AW10:BB10"/>
    <mergeCell ref="BC10:BD10"/>
    <mergeCell ref="AW11:BB11"/>
    <mergeCell ref="BC11:BD11"/>
    <mergeCell ref="Z13:AF14"/>
    <mergeCell ref="AX13:BD14"/>
    <mergeCell ref="R13:X14"/>
    <mergeCell ref="R15:X15"/>
    <mergeCell ref="Z15:AF15"/>
    <mergeCell ref="J15:P15"/>
    <mergeCell ref="J16:P22"/>
    <mergeCell ref="R16:X22"/>
    <mergeCell ref="Z16:AF22"/>
    <mergeCell ref="AH16:AN22"/>
    <mergeCell ref="AP16:AV22"/>
    <mergeCell ref="AX16:BD22"/>
    <mergeCell ref="Z26:AE26"/>
    <mergeCell ref="Z27:AE27"/>
    <mergeCell ref="Z36:AE36"/>
    <mergeCell ref="Z37:AE37"/>
    <mergeCell ref="Z29:AE29"/>
    <mergeCell ref="Z30:AE30"/>
    <mergeCell ref="Z31:AE31"/>
    <mergeCell ref="Z32:AE32"/>
    <mergeCell ref="Z33:AE33"/>
    <mergeCell ref="Z34:AE34"/>
    <mergeCell ref="Z35:AE35"/>
    <mergeCell ref="AX31:BC31"/>
    <mergeCell ref="AX32:BC32"/>
    <mergeCell ref="AX33:BC33"/>
    <mergeCell ref="AX34:BC34"/>
    <mergeCell ref="AX35:BC35"/>
    <mergeCell ref="AX36:BC36"/>
    <mergeCell ref="AX37:BC37"/>
    <mergeCell ref="AX38:BC38"/>
    <mergeCell ref="AX39:BC39"/>
    <mergeCell ref="BC40:BD40"/>
    <mergeCell ref="AX41:BB41"/>
    <mergeCell ref="BC41:BD41"/>
    <mergeCell ref="AX43:BD43"/>
    <mergeCell ref="AY44:BD44"/>
    <mergeCell ref="AY52:BD52"/>
    <mergeCell ref="AY53:BD53"/>
    <mergeCell ref="AY54:BD54"/>
    <mergeCell ref="AY45:BD45"/>
    <mergeCell ref="AY46:BD46"/>
    <mergeCell ref="AX47:BD47"/>
    <mergeCell ref="AY48:BD48"/>
    <mergeCell ref="AY49:BD49"/>
    <mergeCell ref="AY50:BD50"/>
    <mergeCell ref="AX51:BD51"/>
    <mergeCell ref="K44:P44"/>
    <mergeCell ref="K45:P45"/>
    <mergeCell ref="J36:O36"/>
    <mergeCell ref="J37:O37"/>
    <mergeCell ref="J38:O38"/>
    <mergeCell ref="J39:O39"/>
    <mergeCell ref="J40:N40"/>
    <mergeCell ref="O40:P40"/>
    <mergeCell ref="J43:P43"/>
    <mergeCell ref="R47:X47"/>
    <mergeCell ref="Z47:AF47"/>
    <mergeCell ref="AH47:AN47"/>
    <mergeCell ref="AP47:AV47"/>
    <mergeCell ref="AA48:AF48"/>
    <mergeCell ref="AI48:AN48"/>
    <mergeCell ref="AQ48:AV48"/>
    <mergeCell ref="S48:X48"/>
    <mergeCell ref="S49:X49"/>
    <mergeCell ref="AA49:AF49"/>
    <mergeCell ref="AI49:AN49"/>
    <mergeCell ref="S50:X50"/>
    <mergeCell ref="AA50:AF50"/>
    <mergeCell ref="AI50:AN50"/>
  </mergeCells>
  <conditionalFormatting sqref="H25:H39 P25:P39 X25:X39 AF25:AF39 AN25:AN39 AV25:AV39 BD25:BD39">
    <cfRule type="expression" dxfId="0" priority="1">
      <formula>ISBLANK(B25)</formula>
    </cfRule>
  </conditionalFormatting>
  <conditionalFormatting sqref="B25:H39">
    <cfRule type="expression" dxfId="1" priority="2">
      <formula>$H25=TRUE</formula>
    </cfRule>
  </conditionalFormatting>
  <conditionalFormatting sqref="J25:P39">
    <cfRule type="expression" dxfId="1" priority="3">
      <formula>$P25=TRUE</formula>
    </cfRule>
  </conditionalFormatting>
  <conditionalFormatting sqref="R25:X39">
    <cfRule type="expression" dxfId="1" priority="4">
      <formula>$X25=TRUE</formula>
    </cfRule>
  </conditionalFormatting>
  <conditionalFormatting sqref="Z25:AF39">
    <cfRule type="expression" dxfId="1" priority="5">
      <formula>$AF25=TRUE</formula>
    </cfRule>
  </conditionalFormatting>
  <conditionalFormatting sqref="AH25:AN39">
    <cfRule type="expression" dxfId="1" priority="6">
      <formula>$AN25=TRUE</formula>
    </cfRule>
  </conditionalFormatting>
  <conditionalFormatting sqref="AP25:AV39">
    <cfRule type="expression" dxfId="1" priority="7">
      <formula>$AV25=TRUE</formula>
    </cfRule>
  </conditionalFormatting>
  <conditionalFormatting sqref="AX25:BD39">
    <cfRule type="expression" dxfId="1" priority="8">
      <formula>$BD25=TRUE</formula>
    </cfRule>
  </conditionalFormatting>
  <drawing r:id="rId1"/>
</worksheet>
</file>