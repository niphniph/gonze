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სახელმძღვანელო" sheetId="1" r:id="rId5"/>
    <sheet state="visible" name="მაგალითი" sheetId="2" r:id="rId6"/>
    <sheet state="visible" name="მთავარი" sheetId="3" r:id="rId7"/>
    <sheet state="visible" name="Jan" sheetId="4" r:id="rId8"/>
    <sheet state="visible" name="Feb" sheetId="5" r:id="rId9"/>
    <sheet state="visible" name="Mar" sheetId="6" r:id="rId10"/>
    <sheet state="visible" name="Apr" sheetId="7" r:id="rId11"/>
    <sheet state="visible" name="May" sheetId="8" r:id="rId12"/>
    <sheet state="visible" name="Jun" sheetId="9" r:id="rId13"/>
    <sheet state="visible" name="Jul" sheetId="10" r:id="rId14"/>
    <sheet state="visible" name="Aug" sheetId="11" r:id="rId15"/>
    <sheet state="visible" name="Sep" sheetId="12" r:id="rId16"/>
    <sheet state="visible" name="Oct" sheetId="13" r:id="rId17"/>
    <sheet state="visible" name="Nov" sheetId="14" r:id="rId18"/>
    <sheet state="visible" name="Dec" sheetId="15" r:id="rId19"/>
  </sheets>
  <definedNames/>
  <calcPr/>
</workbook>
</file>

<file path=xl/sharedStrings.xml><?xml version="1.0" encoding="utf-8"?>
<sst xmlns="http://schemas.openxmlformats.org/spreadsheetml/2006/main" count="736" uniqueCount="71">
  <si>
    <t>1) გადადით მიმდინარე თვის სახელობის ფურცელზე!</t>
  </si>
  <si>
    <t>2) შექმენით ჩვევების ჩამონათვალი, რომელთა თვალყურის დევნებაც გსურთ</t>
  </si>
  <si>
    <t>3) ყოველდღე აღნიშნეთ თქვენი ჩვევის დასრულება! ზოგიერთი ჩვევის შედეგები მაშინვე არ ჩანს-მთავარია გააგრძელოთ. სქემა დაგეხმარებათ აკონტროლოთ თქვენი პროგრესი!</t>
  </si>
  <si>
    <t>4) არ დაივიწყოთ თქვენი ემოციური მდგომარეობა!</t>
  </si>
  <si>
    <t>5) გადადი "მთავარი" ფურცელზე</t>
  </si>
  <si>
    <t>6) გააანალიზეთ თქვენი ყოველთვიური ჩვევების პროგრესი! გრაფიკი გვიჩვენებს, რომელ თვეში იყავით ყველაზე ეფექტური!</t>
  </si>
  <si>
    <t>მზადაა! ახლა თქვენ გაქვთ ტრეკერის საკუთარი ასლი, რომ იმუშაოთ და მოირგოთ.
გამოიყენეთ ტრეკერი ყოველდღე და უყურეთ, თუ როგორ იწვევს მცირე ნაბიჯები დიდ შედეგებს!
თუ თქვენ გაქვთ რაიმე შეკითხვები, მოგვწერეთ.</t>
  </si>
  <si>
    <t xml:space="preserve"> </t>
  </si>
  <si>
    <t>იანვარი</t>
  </si>
  <si>
    <t>ც</t>
  </si>
  <si>
    <t>შესრულებული ჩვევები</t>
  </si>
  <si>
    <t>პროგრესი</t>
  </si>
  <si>
    <t>პროგრესი %-ში</t>
  </si>
  <si>
    <t>ჩემი ჩვევები</t>
  </si>
  <si>
    <t>კვირა 1</t>
  </si>
  <si>
    <t>კვირა 2</t>
  </si>
  <si>
    <t>კვირა 3</t>
  </si>
  <si>
    <t>კვირა 4</t>
  </si>
  <si>
    <t>ანალიზი</t>
  </si>
  <si>
    <t>Sa</t>
  </si>
  <si>
    <t>Su</t>
  </si>
  <si>
    <t>Mo</t>
  </si>
  <si>
    <t>Tu</t>
  </si>
  <si>
    <t>We</t>
  </si>
  <si>
    <t>Th</t>
  </si>
  <si>
    <t>Fr</t>
  </si>
  <si>
    <t>მიზანი</t>
  </si>
  <si>
    <t>რეალობა</t>
  </si>
  <si>
    <t>გაიღვიძე  05:00-ზე ⏰</t>
  </si>
  <si>
    <t>ვარჯიში 💪</t>
  </si>
  <si>
    <t>სწავლა 📖</t>
  </si>
  <si>
    <t>დღის დაგეგმვა 🗓️</t>
  </si>
  <si>
    <t>ბიუჯეტის კონტროლი💰</t>
  </si>
  <si>
    <t>პროექტზე მუშაობა🎯</t>
  </si>
  <si>
    <t>0 ალკოჰოლი 🍾</t>
  </si>
  <si>
    <t>სოციალ დეტოქსი 🌿</t>
  </si>
  <si>
    <t>წერა 📔</t>
  </si>
  <si>
    <t>ცივი შხაპი 🚿</t>
  </si>
  <si>
    <t>შესრულებული</t>
  </si>
  <si>
    <t>შესასრულებელი</t>
  </si>
  <si>
    <t>მენტალური მდგომარეობა</t>
  </si>
  <si>
    <t>ხასიათი</t>
  </si>
  <si>
    <t>მოტივაცია</t>
  </si>
  <si>
    <t>წლიური სტატისტიკა</t>
  </si>
  <si>
    <t>Месяца</t>
  </si>
  <si>
    <t>Прогресс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</si>
  <si>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</si>
  <si>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</si>
  <si>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</si>
  <si>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</si>
  <si>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</si>
  <si>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</si>
  <si>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</si>
  <si>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</si>
  <si>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</si>
  <si>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</si>
  <si>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</si>
  <si>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</si>
  <si>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თებერვალი</t>
  </si>
  <si>
    <t>მარტი</t>
  </si>
  <si>
    <t>აპრილი</t>
  </si>
  <si>
    <t>ჩვევები სულ</t>
  </si>
  <si>
    <t>მაისი</t>
  </si>
  <si>
    <t>ივნისი</t>
  </si>
  <si>
    <t>ივლისი</t>
  </si>
  <si>
    <t>აგვისტო</t>
  </si>
  <si>
    <t>სექტემბერი</t>
  </si>
  <si>
    <t>ოქტომბერი</t>
  </si>
  <si>
    <t>ნოემბერი</t>
  </si>
  <si>
    <t>დეკემბერი</t>
  </si>
  <si>
    <t>ჩვევების რაოდენობა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</si>
</sst>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2.0"/>
      <color theme="1"/>
      <name val="Arial"/>
      <scheme val="minor"/>
    </font>
    <font>
      <sz val="15.0"/>
      <color theme="1"/>
      <name val="Arial"/>
      <scheme val="minor"/>
    </font>
    <font>
      <color theme="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sz val="26.0"/>
      <color rgb="FFFFFFFF"/>
      <name val="Arial"/>
      <scheme val="minor"/>
    </font>
    <font>
      <sz val="7.0"/>
      <color theme="0"/>
      <name val="Arial"/>
      <scheme val="minor"/>
    </font>
    <font/>
    <font>
      <b/>
      <color theme="0"/>
      <name val="Arial"/>
      <scheme val="minor"/>
    </font>
    <font>
      <b/>
      <sz val="12.0"/>
      <color rgb="FFFFFFFF"/>
      <name val="Arial"/>
      <scheme val="minor"/>
    </font>
    <font>
      <color rgb="FF666666"/>
      <name val="Arial"/>
      <scheme val="minor"/>
    </font>
    <font>
      <sz val="13.0"/>
      <color rgb="FFFFFFFF"/>
      <name val="Arial"/>
      <scheme val="minor"/>
    </font>
    <font>
      <sz val="10.0"/>
      <color rgb="FFFFFFFF"/>
      <name val="Arial"/>
      <scheme val="minor"/>
    </font>
    <font>
      <color rgb="FF434343"/>
      <name val="Arial"/>
      <scheme val="minor"/>
    </font>
    <font>
      <sz val="30.0"/>
      <color rgb="FFFFFFFF"/>
      <name val="Arial"/>
      <scheme val="minor"/>
    </font>
    <font>
      <sz val="15.0"/>
      <color theme="0"/>
      <name val="Arial"/>
      <scheme val="minor"/>
    </font>
    <font>
      <sz val="15.0"/>
      <color rgb="FFFFFFFF"/>
      <name val="Arial"/>
      <scheme val="minor"/>
    </font>
    <font>
      <sz val="11.0"/>
      <color rgb="FF434343"/>
      <name val="Arial"/>
      <scheme val="minor"/>
    </font>
    <font>
      <sz val="7.0"/>
      <color rgb="FFFFFFFF"/>
      <name val="Arial"/>
      <scheme val="minor"/>
    </font>
    <font>
      <color rgb="FFFFFFFF"/>
      <name val="Arial"/>
    </font>
    <font>
      <color theme="1"/>
      <name val="Arial"/>
    </font>
    <font>
      <b/>
      <color rgb="FFFFFFFF"/>
      <name val="Arial"/>
      <scheme val="minor"/>
    </font>
    <font>
      <color rgb="FF666666"/>
      <name val="Arial"/>
    </font>
  </fonts>
  <fills count="8">
    <fill>
      <patternFill patternType="none"/>
    </fill>
    <fill>
      <patternFill patternType="lightGray"/>
    </fill>
    <fill>
      <patternFill patternType="solid">
        <fgColor rgb="FFA61C00"/>
        <bgColor rgb="FFA61C00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DD7E6B"/>
        <bgColor rgb="FFDD7E6B"/>
      </patternFill>
    </fill>
    <fill>
      <patternFill patternType="solid">
        <fgColor rgb="FF999999"/>
        <bgColor rgb="FF999999"/>
      </patternFill>
    </fill>
  </fills>
  <borders count="18">
    <border/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</border>
    <border>
      <right style="thin">
        <color rgb="FFCCCCCC"/>
      </right>
    </border>
    <border>
      <left style="thin">
        <color rgb="FFCCCCCC"/>
      </left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 shrinkToFit="0" vertical="center" wrapText="1"/>
    </xf>
    <xf borderId="1" fillId="2" fontId="4" numFmtId="0" xfId="0" applyAlignment="1" applyBorder="1" applyFill="1" applyFont="1">
      <alignment horizontal="center" readingOrder="0" vertical="center"/>
    </xf>
    <xf borderId="2" fillId="2" fontId="4" numFmtId="0" xfId="0" applyAlignment="1" applyBorder="1" applyFont="1">
      <alignment horizontal="center" vertical="center"/>
    </xf>
    <xf borderId="2" fillId="2" fontId="5" numFmtId="0" xfId="0" applyAlignment="1" applyBorder="1" applyFont="1">
      <alignment horizontal="center" readingOrder="0" vertical="center"/>
    </xf>
    <xf borderId="3" fillId="2" fontId="4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4" fillId="2" fontId="7" numFmtId="0" xfId="0" applyAlignment="1" applyBorder="1" applyFont="1">
      <alignment horizontal="center" readingOrder="0" vertical="center"/>
    </xf>
    <xf borderId="0" fillId="2" fontId="8" numFmtId="0" xfId="0" applyAlignment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4" numFmtId="0" xfId="0" applyFont="1"/>
    <xf borderId="0" fillId="2" fontId="4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5" fillId="2" fontId="4" numFmtId="0" xfId="0" applyAlignment="1" applyBorder="1" applyFont="1">
      <alignment horizontal="center" vertical="center"/>
    </xf>
    <xf borderId="4" fillId="0" fontId="9" numFmtId="0" xfId="0" applyBorder="1" applyFont="1"/>
    <xf borderId="0" fillId="3" fontId="4" numFmtId="0" xfId="0" applyAlignment="1" applyFill="1" applyFont="1">
      <alignment horizontal="center" vertical="center"/>
    </xf>
    <xf borderId="0" fillId="2" fontId="10" numFmtId="10" xfId="0" applyAlignment="1" applyFont="1" applyNumberFormat="1">
      <alignment horizontal="center" vertical="center"/>
    </xf>
    <xf borderId="6" fillId="2" fontId="4" numFmtId="0" xfId="0" applyAlignment="1" applyBorder="1" applyFont="1">
      <alignment horizontal="center" vertical="center"/>
    </xf>
    <xf borderId="7" fillId="2" fontId="4" numFmtId="0" xfId="0" applyAlignment="1" applyBorder="1" applyFont="1">
      <alignment horizontal="center" vertical="center"/>
    </xf>
    <xf borderId="7" fillId="2" fontId="4" numFmtId="0" xfId="0" applyAlignment="1" applyBorder="1" applyFont="1">
      <alignment horizontal="center" shrinkToFit="0" vertical="center" wrapText="1"/>
    </xf>
    <xf borderId="8" fillId="2" fontId="4" numFmtId="0" xfId="0" applyAlignment="1" applyBorder="1" applyFont="1">
      <alignment horizontal="center" vertical="center"/>
    </xf>
    <xf borderId="9" fillId="2" fontId="11" numFmtId="0" xfId="0" applyAlignment="1" applyBorder="1" applyFont="1">
      <alignment horizontal="center" readingOrder="0" shrinkToFit="0" vertical="center" wrapText="1"/>
    </xf>
    <xf borderId="10" fillId="4" fontId="12" numFmtId="0" xfId="0" applyAlignment="1" applyBorder="1" applyFill="1" applyFont="1">
      <alignment horizontal="center" readingOrder="0" vertical="center"/>
    </xf>
    <xf borderId="11" fillId="0" fontId="9" numFmtId="0" xfId="0" applyBorder="1" applyFont="1"/>
    <xf borderId="12" fillId="0" fontId="9" numFmtId="0" xfId="0" applyBorder="1" applyFont="1"/>
    <xf borderId="10" fillId="5" fontId="12" numFmtId="0" xfId="0" applyAlignment="1" applyBorder="1" applyFill="1" applyFont="1">
      <alignment horizontal="center" readingOrder="0" vertical="center"/>
    </xf>
    <xf borderId="10" fillId="4" fontId="12" numFmtId="0" xfId="0" applyAlignment="1" applyBorder="1" applyFont="1">
      <alignment horizontal="center" vertical="center"/>
    </xf>
    <xf borderId="1" fillId="2" fontId="13" numFmtId="0" xfId="0" applyAlignment="1" applyBorder="1" applyFont="1">
      <alignment horizontal="center" readingOrder="0" vertical="center"/>
    </xf>
    <xf borderId="2" fillId="0" fontId="9" numFmtId="0" xfId="0" applyBorder="1" applyFont="1"/>
    <xf borderId="3" fillId="0" fontId="9" numFmtId="0" xfId="0" applyBorder="1" applyFont="1"/>
    <xf borderId="13" fillId="0" fontId="9" numFmtId="0" xfId="0" applyBorder="1" applyFont="1"/>
    <xf borderId="14" fillId="4" fontId="12" numFmtId="0" xfId="0" applyAlignment="1" applyBorder="1" applyFont="1">
      <alignment horizontal="center" readingOrder="0" vertical="center"/>
    </xf>
    <xf borderId="14" fillId="5" fontId="12" numFmtId="0" xfId="0" applyAlignment="1" applyBorder="1" applyFont="1">
      <alignment horizontal="center" readingOrder="0" vertical="center"/>
    </xf>
    <xf borderId="6" fillId="0" fontId="9" numFmtId="0" xfId="0" applyBorder="1" applyFont="1"/>
    <xf borderId="7" fillId="0" fontId="9" numFmtId="0" xfId="0" applyBorder="1" applyFont="1"/>
    <xf borderId="8" fillId="0" fontId="9" numFmtId="0" xfId="0" applyBorder="1" applyFont="1"/>
    <xf borderId="15" fillId="0" fontId="9" numFmtId="0" xfId="0" applyBorder="1" applyFont="1"/>
    <xf borderId="14" fillId="2" fontId="5" numFmtId="0" xfId="0" applyAlignment="1" applyBorder="1" applyFont="1">
      <alignment horizontal="center" readingOrder="0" vertical="center"/>
    </xf>
    <xf borderId="10" fillId="2" fontId="5" numFmtId="0" xfId="0" applyAlignment="1" applyBorder="1" applyFont="1">
      <alignment horizontal="center" readingOrder="0" vertical="center"/>
    </xf>
    <xf borderId="14" fillId="6" fontId="14" numFmtId="0" xfId="0" applyAlignment="1" applyBorder="1" applyFill="1" applyFont="1">
      <alignment horizontal="center" readingOrder="0"/>
    </xf>
    <xf borderId="0" fillId="4" fontId="12" numFmtId="0" xfId="0" applyAlignment="1" applyFont="1">
      <alignment horizontal="center" readingOrder="0" vertical="center"/>
    </xf>
    <xf borderId="0" fillId="5" fontId="12" numFmtId="0" xfId="0" applyAlignment="1" applyFont="1">
      <alignment horizontal="center" readingOrder="0" vertical="center"/>
    </xf>
    <xf borderId="0" fillId="4" fontId="12" numFmtId="0" xfId="0" applyFont="1"/>
    <xf borderId="0" fillId="4" fontId="12" numFmtId="0" xfId="0" applyAlignment="1" applyFont="1">
      <alignment horizontal="center" vertical="center"/>
    </xf>
    <xf borderId="0" fillId="0" fontId="15" numFmtId="0" xfId="0" applyFont="1"/>
    <xf borderId="0" fillId="0" fontId="12" numFmtId="0" xfId="0" applyFont="1"/>
    <xf borderId="0" fillId="4" fontId="12" numFmtId="9" xfId="0" applyAlignment="1" applyFont="1" applyNumberFormat="1">
      <alignment horizontal="center" vertical="center"/>
    </xf>
    <xf borderId="14" fillId="2" fontId="5" numFmtId="0" xfId="0" applyAlignment="1" applyBorder="1" applyFont="1">
      <alignment horizontal="center" vertical="center"/>
    </xf>
    <xf borderId="0" fillId="4" fontId="15" numFmtId="0" xfId="0" applyAlignment="1" applyFont="1">
      <alignment horizontal="center" readingOrder="0" vertical="center"/>
    </xf>
    <xf borderId="0" fillId="4" fontId="15" numFmtId="0" xfId="0" applyAlignment="1" applyFont="1">
      <alignment horizontal="center" vertical="center"/>
    </xf>
    <xf borderId="0" fillId="0" fontId="4" numFmtId="9" xfId="0" applyFont="1" applyNumberFormat="1"/>
    <xf borderId="0" fillId="2" fontId="16" numFmtId="0" xfId="0" applyAlignment="1" applyFont="1">
      <alignment horizontal="center" readingOrder="0" vertical="center"/>
    </xf>
    <xf borderId="0" fillId="0" fontId="6" numFmtId="0" xfId="0" applyAlignment="1" applyFont="1">
      <alignment readingOrder="0"/>
    </xf>
    <xf borderId="0" fillId="0" fontId="6" numFmtId="10" xfId="0" applyFont="1" applyNumberFormat="1"/>
    <xf borderId="0" fillId="2" fontId="17" numFmtId="0" xfId="0" applyAlignment="1" applyFont="1">
      <alignment horizontal="center" readingOrder="0" vertical="center"/>
    </xf>
    <xf borderId="0" fillId="0" fontId="15" numFmtId="0" xfId="0" applyAlignment="1" applyFont="1">
      <alignment horizontal="center" vertical="center"/>
    </xf>
    <xf borderId="0" fillId="2" fontId="18" numFmtId="0" xfId="0" applyAlignment="1" applyFont="1">
      <alignment horizontal="center" readingOrder="0" vertical="center"/>
    </xf>
    <xf borderId="0" fillId="4" fontId="19" numFmtId="0" xfId="0" applyAlignment="1" applyFont="1">
      <alignment horizontal="center" readingOrder="0" vertical="center"/>
    </xf>
    <xf borderId="0" fillId="4" fontId="19" numFmtId="0" xfId="0" applyAlignment="1" applyFont="1">
      <alignment horizontal="center" vertical="center"/>
    </xf>
    <xf borderId="0" fillId="0" fontId="19" numFmtId="0" xfId="0" applyAlignment="1" applyFont="1">
      <alignment horizontal="center" vertical="center"/>
    </xf>
    <xf borderId="0" fillId="4" fontId="19" numFmtId="10" xfId="0" applyAlignment="1" applyFont="1" applyNumberFormat="1">
      <alignment horizontal="center" vertical="center"/>
    </xf>
    <xf borderId="1" fillId="2" fontId="5" numFmtId="0" xfId="0" applyAlignment="1" applyBorder="1" applyFont="1">
      <alignment horizontal="center" readingOrder="0" vertical="center"/>
    </xf>
    <xf borderId="2" fillId="2" fontId="5" numFmtId="0" xfId="0" applyAlignment="1" applyBorder="1" applyFont="1">
      <alignment horizontal="center" vertical="center"/>
    </xf>
    <xf borderId="3" fillId="2" fontId="5" numFmtId="0" xfId="0" applyAlignment="1" applyBorder="1" applyFont="1">
      <alignment horizontal="center" vertical="center"/>
    </xf>
    <xf borderId="0" fillId="2" fontId="20" numFmtId="0" xfId="0" applyAlignment="1" applyFont="1">
      <alignment horizontal="center" readingOrder="0" vertical="center"/>
    </xf>
    <xf borderId="0" fillId="2" fontId="21" numFmtId="0" xfId="0" applyAlignment="1" applyFont="1">
      <alignment horizontal="center"/>
    </xf>
    <xf borderId="0" fillId="2" fontId="22" numFmtId="0" xfId="0" applyAlignment="1" applyFont="1">
      <alignment vertical="bottom"/>
    </xf>
    <xf borderId="0" fillId="2" fontId="5" numFmtId="0" xfId="0" applyFont="1"/>
    <xf borderId="0" fillId="2" fontId="5" numFmtId="0" xfId="0" applyAlignment="1" applyFont="1">
      <alignment horizontal="center" vertical="center"/>
    </xf>
    <xf borderId="5" fillId="2" fontId="5" numFmtId="0" xfId="0" applyAlignment="1" applyBorder="1" applyFont="1">
      <alignment horizontal="center" vertical="center"/>
    </xf>
    <xf borderId="0" fillId="7" fontId="5" numFmtId="0" xfId="0" applyAlignment="1" applyFill="1" applyFont="1">
      <alignment horizontal="center" vertical="center"/>
    </xf>
    <xf borderId="0" fillId="2" fontId="23" numFmtId="10" xfId="0" applyAlignment="1" applyFont="1" applyNumberFormat="1">
      <alignment horizontal="center" vertical="center"/>
    </xf>
    <xf borderId="6" fillId="2" fontId="5" numFmtId="0" xfId="0" applyAlignment="1" applyBorder="1" applyFont="1">
      <alignment horizontal="center" vertical="center"/>
    </xf>
    <xf borderId="7" fillId="2" fontId="5" numFmtId="0" xfId="0" applyAlignment="1" applyBorder="1" applyFont="1">
      <alignment horizontal="center" vertical="center"/>
    </xf>
    <xf borderId="7" fillId="2" fontId="5" numFmtId="0" xfId="0" applyAlignment="1" applyBorder="1" applyFont="1">
      <alignment horizontal="center" shrinkToFit="0" vertical="center" wrapText="1"/>
    </xf>
    <xf borderId="8" fillId="2" fontId="5" numFmtId="0" xfId="0" applyAlignment="1" applyBorder="1" applyFont="1">
      <alignment horizontal="center" vertical="center"/>
    </xf>
    <xf borderId="16" fillId="4" fontId="12" numFmtId="0" xfId="0" applyAlignment="1" applyBorder="1" applyFont="1">
      <alignment horizontal="center" vertical="center"/>
    </xf>
    <xf borderId="15" fillId="4" fontId="12" numFmtId="0" xfId="0" applyAlignment="1" applyBorder="1" applyFont="1">
      <alignment horizontal="center" readingOrder="0" vertical="center"/>
    </xf>
    <xf borderId="17" fillId="4" fontId="12" numFmtId="0" xfId="0" applyAlignment="1" applyBorder="1" applyFont="1">
      <alignment horizontal="center" readingOrder="0" vertical="center"/>
    </xf>
    <xf borderId="0" fillId="4" fontId="24" numFmtId="0" xfId="0" applyAlignment="1" applyFont="1">
      <alignment horizontal="center" readingOrder="0"/>
    </xf>
    <xf borderId="0" fillId="0" fontId="12" numFmtId="0" xfId="0" applyAlignment="1" applyFont="1">
      <alignment horizontal="center" readingOrder="0" vertical="center"/>
    </xf>
    <xf borderId="0" fillId="4" fontId="12" numFmtId="0" xfId="0" applyAlignment="1" applyFont="1">
      <alignment readingOrder="0"/>
    </xf>
    <xf borderId="0" fillId="0" fontId="12" numFmtId="9" xfId="0" applyAlignment="1" applyFont="1" applyNumberFormat="1">
      <alignment horizontal="center" vertical="center"/>
    </xf>
    <xf borderId="0" fillId="0" fontId="12" numFmtId="0" xfId="0" applyAlignment="1" applyFont="1">
      <alignment horizontal="center" vertical="center"/>
    </xf>
    <xf borderId="11" fillId="2" fontId="4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center" readingOrder="0" vertical="center"/>
    </xf>
    <xf borderId="12" fillId="4" fontId="12" numFmtId="0" xfId="0" applyAlignment="1" applyBorder="1" applyFont="1">
      <alignment horizontal="center" vertical="center"/>
    </xf>
    <xf borderId="14" fillId="4" fontId="12" numFmtId="0" xfId="0" applyAlignment="1" applyBorder="1" applyFont="1">
      <alignment horizontal="center"/>
    </xf>
    <xf borderId="14" fillId="4" fontId="12" numFmtId="0" xfId="0" applyAlignment="1" applyBorder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93C47D">
                <a:alpha val="30000"/>
              </a:srgbClr>
            </a:solidFill>
            <a:ln cmpd="sng">
              <a:solidFill>
                <a:srgbClr val="93C47D">
                  <a:alpha val="100000"/>
                </a:srgbClr>
              </a:solidFill>
              <a:prstDash val="solid"/>
            </a:ln>
          </c:spPr>
          <c:val>
            <c:numRef>
              <c:f>'მაგალითი'!$C$21:$AF$21</c:f>
              <c:numCache/>
            </c:numRef>
          </c:val>
        </c:ser>
        <c:axId val="464723496"/>
        <c:axId val="967086032"/>
      </c:areaChart>
      <c:catAx>
        <c:axId val="464723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7086032"/>
      </c:catAx>
      <c:valAx>
        <c:axId val="96708603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47234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D5A6BD">
                <a:alpha val="30000"/>
              </a:srgbClr>
            </a:solidFill>
            <a:ln cmpd="sng">
              <a:solidFill>
                <a:srgbClr val="D5A6BD">
                  <a:alpha val="100000"/>
                </a:srgbClr>
              </a:solidFill>
            </a:ln>
          </c:spPr>
          <c:val>
            <c:numRef>
              <c:f>'მაგალითი'!$C$36:$AF$36</c:f>
              <c:numCache/>
            </c:numRef>
          </c:val>
        </c:ser>
        <c:axId val="1424758643"/>
        <c:axId val="1285573638"/>
      </c:areaChart>
      <c:catAx>
        <c:axId val="1424758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5573638"/>
      </c:catAx>
      <c:valAx>
        <c:axId val="128557363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47586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0833333333333335"/>
          <c:y val="0.06617250673854451"/>
          <c:w val="0.9182500000000001"/>
          <c:h val="0.835309973045822"/>
        </c:manualLayout>
      </c:layout>
      <c:areaChart>
        <c:ser>
          <c:idx val="0"/>
          <c:order val="0"/>
          <c:tx>
            <c:strRef>
              <c:f>'მთავარი'!$C$6</c:f>
            </c:strRef>
          </c:tx>
          <c:spPr>
            <a:solidFill>
              <a:srgbClr val="93C47D">
                <a:alpha val="30000"/>
              </a:srgbClr>
            </a:solidFill>
            <a:ln cmpd="sng">
              <a:solidFill>
                <a:srgbClr val="93C47D">
                  <a:alpha val="100000"/>
                </a:srgbClr>
              </a:solidFill>
            </a:ln>
          </c:spPr>
          <c:cat>
            <c:strRef>
              <c:f>'მთავარი'!$B$7:$B$18</c:f>
            </c:strRef>
          </c:cat>
          <c:val>
            <c:numRef>
              <c:f>'მთავარი'!$C$7:$C$18</c:f>
              <c:numCache/>
            </c:numRef>
          </c:val>
        </c:ser>
        <c:axId val="688979105"/>
        <c:axId val="1994100630"/>
      </c:areaChart>
      <c:catAx>
        <c:axId val="6889791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4100630"/>
      </c:catAx>
      <c:valAx>
        <c:axId val="199410063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6889791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93C47D">
                <a:alpha val="30000"/>
              </a:srgbClr>
            </a:solidFill>
            <a:ln cmpd="sng">
              <a:solidFill>
                <a:srgbClr val="93C47D">
                  <a:alpha val="100000"/>
                </a:srgbClr>
              </a:solidFill>
              <a:prstDash val="solid"/>
            </a:ln>
          </c:spPr>
          <c:val>
            <c:numRef>
              <c:f>Jan!$C$21:$AG$21</c:f>
              <c:numCache/>
            </c:numRef>
          </c:val>
        </c:ser>
        <c:axId val="44963903"/>
        <c:axId val="951603610"/>
      </c:areaChart>
      <c:catAx>
        <c:axId val="449639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1603610"/>
      </c:catAx>
      <c:valAx>
        <c:axId val="95160361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9639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D5A6BD">
                <a:alpha val="30000"/>
              </a:srgbClr>
            </a:solidFill>
            <a:ln cmpd="sng">
              <a:solidFill>
                <a:srgbClr val="D5A6BD">
                  <a:alpha val="100000"/>
                </a:srgbClr>
              </a:solidFill>
            </a:ln>
          </c:spPr>
          <c:val>
            <c:numRef>
              <c:f>Jan!$C$36:$AG$36</c:f>
              <c:numCache/>
            </c:numRef>
          </c:val>
        </c:ser>
        <c:axId val="228603737"/>
        <c:axId val="638987876"/>
      </c:areaChart>
      <c:catAx>
        <c:axId val="2286037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8987876"/>
      </c:catAx>
      <c:valAx>
        <c:axId val="63898787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86037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93C47D">
                <a:alpha val="30000"/>
              </a:srgbClr>
            </a:solidFill>
            <a:ln cmpd="sng">
              <a:solidFill>
                <a:srgbClr val="93C47D">
                  <a:alpha val="100000"/>
                </a:srgbClr>
              </a:solidFill>
              <a:prstDash val="solid"/>
            </a:ln>
          </c:spPr>
          <c:val>
            <c:numRef>
              <c:f>Feb!$C$21:$AD$21</c:f>
              <c:numCache/>
            </c:numRef>
          </c:val>
        </c:ser>
        <c:axId val="995043721"/>
        <c:axId val="723752801"/>
      </c:areaChart>
      <c:catAx>
        <c:axId val="9950437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3752801"/>
      </c:catAx>
      <c:valAx>
        <c:axId val="72375280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50437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D5A6BD">
                <a:alpha val="30000"/>
              </a:srgbClr>
            </a:solidFill>
            <a:ln cmpd="sng">
              <a:solidFill>
                <a:srgbClr val="D5A6BD">
                  <a:alpha val="100000"/>
                </a:srgbClr>
              </a:solidFill>
            </a:ln>
          </c:spPr>
          <c:val>
            <c:numRef>
              <c:f>Feb!$C$36:$AD$36</c:f>
              <c:numCache/>
            </c:numRef>
          </c:val>
        </c:ser>
        <c:axId val="780661860"/>
        <c:axId val="1308295647"/>
      </c:areaChart>
      <c:catAx>
        <c:axId val="7806618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8295647"/>
      </c:catAx>
      <c:valAx>
        <c:axId val="130829564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06618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93C47D">
                <a:alpha val="30000"/>
              </a:srgbClr>
            </a:solidFill>
            <a:ln cmpd="sng">
              <a:solidFill>
                <a:srgbClr val="93C47D">
                  <a:alpha val="100000"/>
                </a:srgbClr>
              </a:solidFill>
              <a:prstDash val="solid"/>
            </a:ln>
          </c:spPr>
          <c:val>
            <c:numRef>
              <c:f>Mar!$C$21:$AG$21</c:f>
              <c:numCache/>
            </c:numRef>
          </c:val>
        </c:ser>
        <c:axId val="1193392096"/>
        <c:axId val="1217405763"/>
      </c:areaChart>
      <c:catAx>
        <c:axId val="1193392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7405763"/>
      </c:catAx>
      <c:valAx>
        <c:axId val="121740576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33920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D5A6BD">
                <a:alpha val="30000"/>
              </a:srgbClr>
            </a:solidFill>
            <a:ln cmpd="sng">
              <a:solidFill>
                <a:srgbClr val="D5A6BD">
                  <a:alpha val="100000"/>
                </a:srgbClr>
              </a:solidFill>
            </a:ln>
          </c:spPr>
          <c:val>
            <c:numRef>
              <c:f>Mar!$C$36:$AG$36</c:f>
              <c:numCache/>
            </c:numRef>
          </c:val>
        </c:ser>
        <c:axId val="1344104593"/>
        <c:axId val="666508366"/>
      </c:areaChart>
      <c:catAx>
        <c:axId val="13441045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6508366"/>
      </c:catAx>
      <c:valAx>
        <c:axId val="66650836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41045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93C47D">
                <a:alpha val="30000"/>
              </a:srgbClr>
            </a:solidFill>
            <a:ln cmpd="sng">
              <a:solidFill>
                <a:srgbClr val="93C47D">
                  <a:alpha val="100000"/>
                </a:srgbClr>
              </a:solidFill>
              <a:prstDash val="solid"/>
            </a:ln>
          </c:spPr>
          <c:val>
            <c:numRef>
              <c:f>Apr!$C$21:$AF$21</c:f>
              <c:numCache/>
            </c:numRef>
          </c:val>
        </c:ser>
        <c:axId val="232783847"/>
        <c:axId val="994822890"/>
      </c:areaChart>
      <c:catAx>
        <c:axId val="232783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4822890"/>
      </c:catAx>
      <c:valAx>
        <c:axId val="99482289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27838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D5A6BD">
                <a:alpha val="30000"/>
              </a:srgbClr>
            </a:solidFill>
            <a:ln cmpd="sng">
              <a:solidFill>
                <a:srgbClr val="D5A6BD">
                  <a:alpha val="100000"/>
                </a:srgbClr>
              </a:solidFill>
            </a:ln>
          </c:spPr>
          <c:val>
            <c:numRef>
              <c:f>Apr!$C$36:$AF$36</c:f>
              <c:numCache/>
            </c:numRef>
          </c:val>
        </c:ser>
        <c:axId val="1437824839"/>
        <c:axId val="884171860"/>
      </c:areaChart>
      <c:catAx>
        <c:axId val="1437824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4171860"/>
      </c:catAx>
      <c:valAx>
        <c:axId val="88417186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78248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93C47D">
                <a:alpha val="30000"/>
              </a:srgbClr>
            </a:solidFill>
            <a:ln cmpd="sng">
              <a:solidFill>
                <a:srgbClr val="93C47D">
                  <a:alpha val="100000"/>
                </a:srgbClr>
              </a:solidFill>
              <a:prstDash val="solid"/>
            </a:ln>
          </c:spPr>
          <c:val>
            <c:numRef>
              <c:f>May!$C$21:$AG$21</c:f>
              <c:numCache/>
            </c:numRef>
          </c:val>
        </c:ser>
        <c:axId val="1670506126"/>
        <c:axId val="1344272167"/>
      </c:areaChart>
      <c:catAx>
        <c:axId val="16705061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4272167"/>
      </c:catAx>
      <c:valAx>
        <c:axId val="134427216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05061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D5A6BD">
                <a:alpha val="30000"/>
              </a:srgbClr>
            </a:solidFill>
            <a:ln cmpd="sng">
              <a:solidFill>
                <a:srgbClr val="D5A6BD">
                  <a:alpha val="100000"/>
                </a:srgbClr>
              </a:solidFill>
            </a:ln>
          </c:spPr>
          <c:val>
            <c:numRef>
              <c:f>May!$C$36:$AG$36</c:f>
              <c:numCache/>
            </c:numRef>
          </c:val>
        </c:ser>
        <c:axId val="777883685"/>
        <c:axId val="158625523"/>
      </c:areaChart>
      <c:catAx>
        <c:axId val="7778836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625523"/>
      </c:catAx>
      <c:valAx>
        <c:axId val="15862552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78836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93C47D">
                <a:alpha val="30000"/>
              </a:srgbClr>
            </a:solidFill>
            <a:ln cmpd="sng">
              <a:solidFill>
                <a:srgbClr val="93C47D">
                  <a:alpha val="100000"/>
                </a:srgbClr>
              </a:solidFill>
              <a:prstDash val="solid"/>
            </a:ln>
          </c:spPr>
          <c:val>
            <c:numRef>
              <c:f>Jun!$C$21:$AF$21</c:f>
              <c:numCache/>
            </c:numRef>
          </c:val>
        </c:ser>
        <c:axId val="222404427"/>
        <c:axId val="1531411383"/>
      </c:areaChart>
      <c:catAx>
        <c:axId val="2224044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1411383"/>
      </c:catAx>
      <c:valAx>
        <c:axId val="153141138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24044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D5A6BD">
                <a:alpha val="30000"/>
              </a:srgbClr>
            </a:solidFill>
            <a:ln cmpd="sng">
              <a:solidFill>
                <a:srgbClr val="D5A6BD">
                  <a:alpha val="100000"/>
                </a:srgbClr>
              </a:solidFill>
            </a:ln>
          </c:spPr>
          <c:val>
            <c:numRef>
              <c:f>Jun!$C$36:$AF$36</c:f>
              <c:numCache/>
            </c:numRef>
          </c:val>
        </c:ser>
        <c:axId val="780341275"/>
        <c:axId val="1411123425"/>
      </c:areaChart>
      <c:catAx>
        <c:axId val="7803412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1123425"/>
      </c:catAx>
      <c:valAx>
        <c:axId val="1411123425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03412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93C47D">
                <a:alpha val="30000"/>
              </a:srgbClr>
            </a:solidFill>
            <a:ln cmpd="sng">
              <a:solidFill>
                <a:srgbClr val="93C47D">
                  <a:alpha val="100000"/>
                </a:srgbClr>
              </a:solidFill>
              <a:prstDash val="solid"/>
            </a:ln>
          </c:spPr>
          <c:val>
            <c:numRef>
              <c:f>Jul!$C$21:$AG$21</c:f>
              <c:numCache/>
            </c:numRef>
          </c:val>
        </c:ser>
        <c:axId val="2099514226"/>
        <c:axId val="1634191970"/>
      </c:areaChart>
      <c:catAx>
        <c:axId val="20995142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4191970"/>
      </c:catAx>
      <c:valAx>
        <c:axId val="163419197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95142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D5A6BD">
                <a:alpha val="30000"/>
              </a:srgbClr>
            </a:solidFill>
            <a:ln cmpd="sng">
              <a:solidFill>
                <a:srgbClr val="D5A6BD">
                  <a:alpha val="100000"/>
                </a:srgbClr>
              </a:solidFill>
            </a:ln>
          </c:spPr>
          <c:val>
            <c:numRef>
              <c:f>Jul!$C$36:$AG$36</c:f>
              <c:numCache/>
            </c:numRef>
          </c:val>
        </c:ser>
        <c:axId val="864136824"/>
        <c:axId val="1869935396"/>
      </c:areaChart>
      <c:catAx>
        <c:axId val="864136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9935396"/>
      </c:catAx>
      <c:valAx>
        <c:axId val="186993539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41368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93C47D">
                <a:alpha val="30000"/>
              </a:srgbClr>
            </a:solidFill>
            <a:ln cmpd="sng">
              <a:solidFill>
                <a:srgbClr val="93C47D">
                  <a:alpha val="100000"/>
                </a:srgbClr>
              </a:solidFill>
              <a:prstDash val="solid"/>
            </a:ln>
          </c:spPr>
          <c:val>
            <c:numRef>
              <c:f>Aug!$C$21:$AG$21</c:f>
              <c:numCache/>
            </c:numRef>
          </c:val>
        </c:ser>
        <c:axId val="1926402733"/>
        <c:axId val="1171790060"/>
      </c:areaChart>
      <c:catAx>
        <c:axId val="19264027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1790060"/>
      </c:catAx>
      <c:valAx>
        <c:axId val="117179006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64027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D5A6BD">
                <a:alpha val="30000"/>
              </a:srgbClr>
            </a:solidFill>
            <a:ln cmpd="sng">
              <a:solidFill>
                <a:srgbClr val="D5A6BD">
                  <a:alpha val="100000"/>
                </a:srgbClr>
              </a:solidFill>
            </a:ln>
          </c:spPr>
          <c:val>
            <c:numRef>
              <c:f>Aug!$C$36:$AG$36</c:f>
              <c:numCache/>
            </c:numRef>
          </c:val>
        </c:ser>
        <c:axId val="1588578523"/>
        <c:axId val="1911411802"/>
      </c:areaChart>
      <c:catAx>
        <c:axId val="15885785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1411802"/>
      </c:catAx>
      <c:valAx>
        <c:axId val="191141180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85785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93C47D">
                <a:alpha val="30000"/>
              </a:srgbClr>
            </a:solidFill>
            <a:ln cmpd="sng">
              <a:solidFill>
                <a:srgbClr val="93C47D">
                  <a:alpha val="100000"/>
                </a:srgbClr>
              </a:solidFill>
              <a:prstDash val="solid"/>
            </a:ln>
          </c:spPr>
          <c:val>
            <c:numRef>
              <c:f>Sep!$C$21:$AF$21</c:f>
              <c:numCache/>
            </c:numRef>
          </c:val>
        </c:ser>
        <c:axId val="738526982"/>
        <c:axId val="941611507"/>
      </c:areaChart>
      <c:catAx>
        <c:axId val="7385269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1611507"/>
      </c:catAx>
      <c:valAx>
        <c:axId val="94161150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85269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D5A6BD">
                <a:alpha val="30000"/>
              </a:srgbClr>
            </a:solidFill>
            <a:ln cmpd="sng">
              <a:solidFill>
                <a:srgbClr val="D5A6BD">
                  <a:alpha val="100000"/>
                </a:srgbClr>
              </a:solidFill>
            </a:ln>
          </c:spPr>
          <c:val>
            <c:numRef>
              <c:f>Sep!$C$36:$AF$36</c:f>
              <c:numCache/>
            </c:numRef>
          </c:val>
        </c:ser>
        <c:axId val="1073191334"/>
        <c:axId val="1690474603"/>
      </c:areaChart>
      <c:catAx>
        <c:axId val="10731913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0474603"/>
      </c:catAx>
      <c:valAx>
        <c:axId val="169047460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31913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93C47D">
                <a:alpha val="30000"/>
              </a:srgbClr>
            </a:solidFill>
            <a:ln cmpd="sng">
              <a:solidFill>
                <a:srgbClr val="93C47D">
                  <a:alpha val="100000"/>
                </a:srgbClr>
              </a:solidFill>
              <a:prstDash val="solid"/>
            </a:ln>
          </c:spPr>
          <c:val>
            <c:numRef>
              <c:f>Oct!$C$21:$AG$21</c:f>
              <c:numCache/>
            </c:numRef>
          </c:val>
        </c:ser>
        <c:axId val="764326135"/>
        <c:axId val="939194895"/>
      </c:areaChart>
      <c:catAx>
        <c:axId val="764326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9194895"/>
      </c:catAx>
      <c:valAx>
        <c:axId val="939194895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43261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D5A6BD">
                <a:alpha val="30000"/>
              </a:srgbClr>
            </a:solidFill>
            <a:ln cmpd="sng">
              <a:solidFill>
                <a:srgbClr val="D5A6BD">
                  <a:alpha val="100000"/>
                </a:srgbClr>
              </a:solidFill>
            </a:ln>
          </c:spPr>
          <c:val>
            <c:numRef>
              <c:f>Oct!$C$36:$AG$36</c:f>
              <c:numCache/>
            </c:numRef>
          </c:val>
        </c:ser>
        <c:axId val="1936144762"/>
        <c:axId val="2058317990"/>
      </c:areaChart>
      <c:catAx>
        <c:axId val="19361447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8317990"/>
      </c:catAx>
      <c:valAx>
        <c:axId val="205831799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61447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93C47D">
                <a:alpha val="30000"/>
              </a:srgbClr>
            </a:solidFill>
            <a:ln cmpd="sng">
              <a:solidFill>
                <a:srgbClr val="93C47D">
                  <a:alpha val="100000"/>
                </a:srgbClr>
              </a:solidFill>
              <a:prstDash val="solid"/>
            </a:ln>
          </c:spPr>
          <c:val>
            <c:numRef>
              <c:f>Nov!$C$21:$AF$21</c:f>
              <c:numCache/>
            </c:numRef>
          </c:val>
        </c:ser>
        <c:axId val="970840867"/>
        <c:axId val="188793053"/>
      </c:areaChart>
      <c:catAx>
        <c:axId val="9708408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793053"/>
      </c:catAx>
      <c:valAx>
        <c:axId val="18879305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08408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D5A6BD">
                <a:alpha val="30000"/>
              </a:srgbClr>
            </a:solidFill>
            <a:ln cmpd="sng">
              <a:solidFill>
                <a:srgbClr val="D5A6BD">
                  <a:alpha val="100000"/>
                </a:srgbClr>
              </a:solidFill>
            </a:ln>
          </c:spPr>
          <c:val>
            <c:numRef>
              <c:f>Nov!$C$36:$AF$36</c:f>
              <c:numCache/>
            </c:numRef>
          </c:val>
        </c:ser>
        <c:axId val="782570106"/>
        <c:axId val="876881872"/>
      </c:areaChart>
      <c:catAx>
        <c:axId val="7825701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6881872"/>
      </c:catAx>
      <c:valAx>
        <c:axId val="87688187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25701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93C47D">
                <a:alpha val="30000"/>
              </a:srgbClr>
            </a:solidFill>
            <a:ln cmpd="sng">
              <a:solidFill>
                <a:srgbClr val="93C47D">
                  <a:alpha val="100000"/>
                </a:srgbClr>
              </a:solidFill>
              <a:prstDash val="solid"/>
            </a:ln>
          </c:spPr>
          <c:val>
            <c:numRef>
              <c:f>Dec!$C$21:$AG$21</c:f>
              <c:numCache/>
            </c:numRef>
          </c:val>
        </c:ser>
        <c:axId val="1692684127"/>
        <c:axId val="903831623"/>
      </c:areaChart>
      <c:catAx>
        <c:axId val="1692684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3831623"/>
      </c:catAx>
      <c:valAx>
        <c:axId val="90383162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26841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D5A6BD">
                <a:alpha val="30000"/>
              </a:srgbClr>
            </a:solidFill>
            <a:ln cmpd="sng">
              <a:solidFill>
                <a:srgbClr val="D5A6BD">
                  <a:alpha val="100000"/>
                </a:srgbClr>
              </a:solidFill>
            </a:ln>
          </c:spPr>
          <c:val>
            <c:numRef>
              <c:f>Dec!$C$36:$AG$36</c:f>
              <c:numCache/>
            </c:numRef>
          </c:val>
        </c:ser>
        <c:axId val="651923358"/>
        <c:axId val="1554295241"/>
      </c:areaChart>
      <c:catAx>
        <c:axId val="6519233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4295241"/>
      </c:catAx>
      <c:valAx>
        <c:axId val="155429524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19233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Relationship Id="rId3" Type="http://schemas.openxmlformats.org/officeDocument/2006/relationships/image" Target="../media/image5.png"/><Relationship Id="rId4" Type="http://schemas.openxmlformats.org/officeDocument/2006/relationships/image" Target="../media/image1.png"/><Relationship Id="rId5" Type="http://schemas.openxmlformats.org/officeDocument/2006/relationships/image" Target="../media/image2.png"/><Relationship Id="rId6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6</xdr:row>
      <xdr:rowOff>38100</xdr:rowOff>
    </xdr:from>
    <xdr:ext cx="7315200" cy="33242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2</xdr:row>
      <xdr:rowOff>28575</xdr:rowOff>
    </xdr:from>
    <xdr:ext cx="5495925" cy="4572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26</xdr:row>
      <xdr:rowOff>28575</xdr:rowOff>
    </xdr:from>
    <xdr:ext cx="6286500" cy="3409950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45</xdr:row>
      <xdr:rowOff>57150</xdr:rowOff>
    </xdr:from>
    <xdr:ext cx="8153400" cy="340995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64</xdr:row>
      <xdr:rowOff>85725</xdr:rowOff>
    </xdr:from>
    <xdr:ext cx="5448300" cy="619125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69</xdr:row>
      <xdr:rowOff>76200</xdr:rowOff>
    </xdr:from>
    <xdr:ext cx="6562725" cy="4781550"/>
    <xdr:pic>
      <xdr:nvPicPr>
        <xdr:cNvPr id="0" name="image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23</xdr:row>
      <xdr:rowOff>180975</xdr:rowOff>
    </xdr:from>
    <xdr:ext cx="9372600" cy="14001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38100</xdr:colOff>
      <xdr:row>35</xdr:row>
      <xdr:rowOff>171450</xdr:rowOff>
    </xdr:from>
    <xdr:ext cx="9372600" cy="1295400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4</xdr:row>
      <xdr:rowOff>190500</xdr:rowOff>
    </xdr:from>
    <xdr:ext cx="9763125" cy="2781300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1752600</xdr:colOff>
      <xdr:row>23</xdr:row>
      <xdr:rowOff>180975</xdr:rowOff>
    </xdr:from>
    <xdr:ext cx="9753600" cy="140017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1752600</xdr:colOff>
      <xdr:row>35</xdr:row>
      <xdr:rowOff>190500</xdr:rowOff>
    </xdr:from>
    <xdr:ext cx="9753600" cy="1295400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1762125</xdr:colOff>
      <xdr:row>23</xdr:row>
      <xdr:rowOff>180975</xdr:rowOff>
    </xdr:from>
    <xdr:ext cx="8810625" cy="1400175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1762125</xdr:colOff>
      <xdr:row>35</xdr:row>
      <xdr:rowOff>142875</xdr:rowOff>
    </xdr:from>
    <xdr:ext cx="8810625" cy="1295400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1752600</xdr:colOff>
      <xdr:row>23</xdr:row>
      <xdr:rowOff>180975</xdr:rowOff>
    </xdr:from>
    <xdr:ext cx="9763125" cy="1400175"/>
    <xdr:graphicFrame>
      <xdr:nvGraphicFramePr>
        <xdr:cNvPr id="8" name="Chart 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1762125</xdr:colOff>
      <xdr:row>36</xdr:row>
      <xdr:rowOff>38100</xdr:rowOff>
    </xdr:from>
    <xdr:ext cx="9753600" cy="1295400"/>
    <xdr:graphicFrame>
      <xdr:nvGraphicFramePr>
        <xdr:cNvPr id="9" name="Chart 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1752600</xdr:colOff>
      <xdr:row>23</xdr:row>
      <xdr:rowOff>180975</xdr:rowOff>
    </xdr:from>
    <xdr:ext cx="9439275" cy="1400175"/>
    <xdr:graphicFrame>
      <xdr:nvGraphicFramePr>
        <xdr:cNvPr id="10" name="Chart 1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1752600</xdr:colOff>
      <xdr:row>35</xdr:row>
      <xdr:rowOff>171450</xdr:rowOff>
    </xdr:from>
    <xdr:ext cx="9439275" cy="1295400"/>
    <xdr:graphicFrame>
      <xdr:nvGraphicFramePr>
        <xdr:cNvPr id="11" name="Chart 1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1752600</xdr:colOff>
      <xdr:row>23</xdr:row>
      <xdr:rowOff>171450</xdr:rowOff>
    </xdr:from>
    <xdr:ext cx="9734550" cy="1400175"/>
    <xdr:graphicFrame>
      <xdr:nvGraphicFramePr>
        <xdr:cNvPr id="12" name="Chart 1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1752600</xdr:colOff>
      <xdr:row>35</xdr:row>
      <xdr:rowOff>190500</xdr:rowOff>
    </xdr:from>
    <xdr:ext cx="9734550" cy="1295400"/>
    <xdr:graphicFrame>
      <xdr:nvGraphicFramePr>
        <xdr:cNvPr id="13" name="Chart 1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1762125</xdr:colOff>
      <xdr:row>23</xdr:row>
      <xdr:rowOff>190500</xdr:rowOff>
    </xdr:from>
    <xdr:ext cx="9420225" cy="1400175"/>
    <xdr:graphicFrame>
      <xdr:nvGraphicFramePr>
        <xdr:cNvPr id="14" name="Chart 1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1762125</xdr:colOff>
      <xdr:row>35</xdr:row>
      <xdr:rowOff>190500</xdr:rowOff>
    </xdr:from>
    <xdr:ext cx="9420225" cy="1295400"/>
    <xdr:graphicFrame>
      <xdr:nvGraphicFramePr>
        <xdr:cNvPr id="15" name="Chart 1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23</xdr:row>
      <xdr:rowOff>152400</xdr:rowOff>
    </xdr:from>
    <xdr:ext cx="9744075" cy="1400175"/>
    <xdr:graphicFrame>
      <xdr:nvGraphicFramePr>
        <xdr:cNvPr id="16" name="Chart 1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0</xdr:colOff>
      <xdr:row>35</xdr:row>
      <xdr:rowOff>180975</xdr:rowOff>
    </xdr:from>
    <xdr:ext cx="9705975" cy="1295400"/>
    <xdr:graphicFrame>
      <xdr:nvGraphicFramePr>
        <xdr:cNvPr id="17" name="Chart 1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1762125</xdr:colOff>
      <xdr:row>23</xdr:row>
      <xdr:rowOff>171450</xdr:rowOff>
    </xdr:from>
    <xdr:ext cx="9734550" cy="1400175"/>
    <xdr:graphicFrame>
      <xdr:nvGraphicFramePr>
        <xdr:cNvPr id="18" name="Chart 1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1762125</xdr:colOff>
      <xdr:row>35</xdr:row>
      <xdr:rowOff>171450</xdr:rowOff>
    </xdr:from>
    <xdr:ext cx="9734550" cy="1295400"/>
    <xdr:graphicFrame>
      <xdr:nvGraphicFramePr>
        <xdr:cNvPr id="19" name="Chart 1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1752600</xdr:colOff>
      <xdr:row>23</xdr:row>
      <xdr:rowOff>171450</xdr:rowOff>
    </xdr:from>
    <xdr:ext cx="9429750" cy="1400175"/>
    <xdr:graphicFrame>
      <xdr:nvGraphicFramePr>
        <xdr:cNvPr id="20" name="Chart 2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1762125</xdr:colOff>
      <xdr:row>36</xdr:row>
      <xdr:rowOff>0</xdr:rowOff>
    </xdr:from>
    <xdr:ext cx="9429750" cy="1295400"/>
    <xdr:graphicFrame>
      <xdr:nvGraphicFramePr>
        <xdr:cNvPr id="21" name="Chart 2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1762125</xdr:colOff>
      <xdr:row>23</xdr:row>
      <xdr:rowOff>161925</xdr:rowOff>
    </xdr:from>
    <xdr:ext cx="9744075" cy="1400175"/>
    <xdr:graphicFrame>
      <xdr:nvGraphicFramePr>
        <xdr:cNvPr id="22" name="Chart 2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1771650</xdr:colOff>
      <xdr:row>36</xdr:row>
      <xdr:rowOff>19050</xdr:rowOff>
    </xdr:from>
    <xdr:ext cx="9744075" cy="1295400"/>
    <xdr:graphicFrame>
      <xdr:nvGraphicFramePr>
        <xdr:cNvPr id="23" name="Chart 2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23</xdr:row>
      <xdr:rowOff>180975</xdr:rowOff>
    </xdr:from>
    <xdr:ext cx="9410700" cy="1400175"/>
    <xdr:graphicFrame>
      <xdr:nvGraphicFramePr>
        <xdr:cNvPr id="24" name="Chart 2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9525</xdr:colOff>
      <xdr:row>35</xdr:row>
      <xdr:rowOff>190500</xdr:rowOff>
    </xdr:from>
    <xdr:ext cx="9410700" cy="1295400"/>
    <xdr:graphicFrame>
      <xdr:nvGraphicFramePr>
        <xdr:cNvPr id="25" name="Chart 2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23</xdr:row>
      <xdr:rowOff>180975</xdr:rowOff>
    </xdr:from>
    <xdr:ext cx="9725025" cy="1400175"/>
    <xdr:graphicFrame>
      <xdr:nvGraphicFramePr>
        <xdr:cNvPr id="26" name="Chart 2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1752600</xdr:colOff>
      <xdr:row>35</xdr:row>
      <xdr:rowOff>190500</xdr:rowOff>
    </xdr:from>
    <xdr:ext cx="9753600" cy="1295400"/>
    <xdr:graphicFrame>
      <xdr:nvGraphicFramePr>
        <xdr:cNvPr id="27" name="Chart 2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</cols>
  <sheetData>
    <row r="2">
      <c r="B2" s="1" t="s">
        <v>0</v>
      </c>
    </row>
    <row r="6">
      <c r="B6" s="2" t="s">
        <v>1</v>
      </c>
    </row>
    <row r="25">
      <c r="B25" s="3" t="s">
        <v>2</v>
      </c>
    </row>
    <row r="45">
      <c r="B45" s="2" t="s">
        <v>3</v>
      </c>
    </row>
    <row r="64">
      <c r="B64" s="2" t="s">
        <v>4</v>
      </c>
    </row>
    <row r="69">
      <c r="B69" s="2" t="s">
        <v>5</v>
      </c>
    </row>
    <row r="94">
      <c r="B94" s="4" t="s">
        <v>6</v>
      </c>
    </row>
  </sheetData>
  <mergeCells count="2">
    <mergeCell ref="B25:I26"/>
    <mergeCell ref="B94:H10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23.25"/>
    <col customWidth="1" min="3" max="32" width="4.13"/>
    <col customWidth="1" min="33" max="33" width="3.25"/>
    <col customWidth="1" min="34" max="34" width="10.0"/>
    <col customWidth="1" min="35" max="35" width="8.0"/>
    <col customWidth="1" min="36" max="39" width="4.13"/>
  </cols>
  <sheetData>
    <row r="2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7" t="s">
        <v>7</v>
      </c>
      <c r="AG2" s="6"/>
      <c r="AH2" s="6"/>
      <c r="AI2" s="6"/>
      <c r="AJ2" s="6"/>
      <c r="AK2" s="6"/>
      <c r="AL2" s="8"/>
      <c r="AM2" s="9"/>
    </row>
    <row r="3">
      <c r="B3" s="10" t="s">
        <v>8</v>
      </c>
      <c r="I3" s="11"/>
      <c r="J3" s="12" t="s">
        <v>9</v>
      </c>
      <c r="O3" s="13"/>
      <c r="P3" s="12" t="s">
        <v>10</v>
      </c>
      <c r="U3" s="13"/>
      <c r="V3" s="12" t="s">
        <v>11</v>
      </c>
      <c r="AA3" s="13"/>
      <c r="AB3" s="12" t="s">
        <v>12</v>
      </c>
      <c r="AE3" s="14"/>
      <c r="AF3" s="14"/>
      <c r="AG3" s="13"/>
      <c r="AH3" s="15"/>
      <c r="AI3" s="15"/>
      <c r="AJ3" s="15"/>
      <c r="AK3" s="15"/>
      <c r="AL3" s="16"/>
      <c r="AM3" s="9"/>
    </row>
    <row r="4">
      <c r="B4" s="17"/>
      <c r="I4" s="11"/>
      <c r="J4" s="15">
        <f>COUNTA($B$10:$B$19)</f>
        <v>10</v>
      </c>
      <c r="O4" s="13"/>
      <c r="P4" s="15">
        <f>COUNTIF($C$10:$AF$19, TRUE)</f>
        <v>134</v>
      </c>
      <c r="U4" s="13"/>
      <c r="V4" s="18" t="str">
        <f>IFERROR(__xludf.DUMMYFUNCTION("SPARKLINE(AB4, {""charttype"",""bar"";""max"",1;""color1"",""#90EE90""})"),"")</f>
        <v/>
      </c>
      <c r="AA4" s="13"/>
      <c r="AB4" s="19">
        <f>(P4)/(COUNTA($C$10:$C$19)*COUNTA($C$10:$AF$10))</f>
        <v>0.4466666667</v>
      </c>
      <c r="AE4" s="19"/>
      <c r="AF4" s="19"/>
      <c r="AG4" s="13"/>
      <c r="AH4" s="15"/>
      <c r="AI4" s="15"/>
      <c r="AJ4" s="15"/>
      <c r="AK4" s="15"/>
      <c r="AL4" s="16"/>
      <c r="AM4" s="9"/>
    </row>
    <row r="5">
      <c r="B5" s="20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2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3"/>
      <c r="AM5" s="9"/>
    </row>
    <row r="6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</row>
    <row r="7">
      <c r="B7" s="24" t="s">
        <v>13</v>
      </c>
      <c r="C7" s="25" t="s">
        <v>14</v>
      </c>
      <c r="D7" s="26"/>
      <c r="E7" s="26"/>
      <c r="F7" s="26"/>
      <c r="G7" s="26"/>
      <c r="H7" s="26"/>
      <c r="I7" s="27"/>
      <c r="J7" s="28" t="s">
        <v>15</v>
      </c>
      <c r="K7" s="26"/>
      <c r="L7" s="26"/>
      <c r="M7" s="26"/>
      <c r="N7" s="26"/>
      <c r="O7" s="26"/>
      <c r="P7" s="27"/>
      <c r="Q7" s="25" t="s">
        <v>16</v>
      </c>
      <c r="R7" s="26"/>
      <c r="S7" s="26"/>
      <c r="T7" s="26"/>
      <c r="U7" s="26"/>
      <c r="V7" s="26"/>
      <c r="W7" s="27"/>
      <c r="X7" s="28" t="s">
        <v>17</v>
      </c>
      <c r="Y7" s="26"/>
      <c r="Z7" s="26"/>
      <c r="AA7" s="26"/>
      <c r="AB7" s="26"/>
      <c r="AC7" s="26"/>
      <c r="AD7" s="27"/>
      <c r="AE7" s="29"/>
      <c r="AF7" s="27"/>
      <c r="AG7" s="9"/>
      <c r="AH7" s="30" t="s">
        <v>18</v>
      </c>
      <c r="AI7" s="31"/>
      <c r="AJ7" s="31"/>
      <c r="AK7" s="31"/>
      <c r="AL7" s="32"/>
    </row>
    <row r="8">
      <c r="B8" s="33"/>
      <c r="C8" s="34" t="s">
        <v>19</v>
      </c>
      <c r="D8" s="34" t="s">
        <v>20</v>
      </c>
      <c r="E8" s="34" t="s">
        <v>21</v>
      </c>
      <c r="F8" s="34" t="s">
        <v>22</v>
      </c>
      <c r="G8" s="34" t="s">
        <v>23</v>
      </c>
      <c r="H8" s="34" t="s">
        <v>24</v>
      </c>
      <c r="I8" s="34" t="s">
        <v>25</v>
      </c>
      <c r="J8" s="35" t="s">
        <v>19</v>
      </c>
      <c r="K8" s="35" t="s">
        <v>20</v>
      </c>
      <c r="L8" s="35" t="s">
        <v>21</v>
      </c>
      <c r="M8" s="35" t="s">
        <v>22</v>
      </c>
      <c r="N8" s="35" t="s">
        <v>23</v>
      </c>
      <c r="O8" s="35" t="s">
        <v>24</v>
      </c>
      <c r="P8" s="35" t="s">
        <v>25</v>
      </c>
      <c r="Q8" s="34" t="s">
        <v>19</v>
      </c>
      <c r="R8" s="34" t="s">
        <v>20</v>
      </c>
      <c r="S8" s="34" t="s">
        <v>21</v>
      </c>
      <c r="T8" s="34" t="s">
        <v>22</v>
      </c>
      <c r="U8" s="34" t="s">
        <v>23</v>
      </c>
      <c r="V8" s="34" t="s">
        <v>24</v>
      </c>
      <c r="W8" s="34" t="s">
        <v>25</v>
      </c>
      <c r="X8" s="35" t="s">
        <v>19</v>
      </c>
      <c r="Y8" s="35" t="s">
        <v>20</v>
      </c>
      <c r="Z8" s="35" t="s">
        <v>21</v>
      </c>
      <c r="AA8" s="35" t="s">
        <v>22</v>
      </c>
      <c r="AB8" s="35" t="s">
        <v>23</v>
      </c>
      <c r="AC8" s="35" t="s">
        <v>24</v>
      </c>
      <c r="AD8" s="35" t="s">
        <v>25</v>
      </c>
      <c r="AE8" s="34" t="s">
        <v>19</v>
      </c>
      <c r="AF8" s="34" t="s">
        <v>20</v>
      </c>
      <c r="AG8" s="9"/>
      <c r="AH8" s="36"/>
      <c r="AI8" s="37"/>
      <c r="AJ8" s="37"/>
      <c r="AK8" s="37"/>
      <c r="AL8" s="38"/>
    </row>
    <row r="9">
      <c r="B9" s="39"/>
      <c r="C9" s="34">
        <v>1.0</v>
      </c>
      <c r="D9" s="34">
        <v>2.0</v>
      </c>
      <c r="E9" s="34">
        <v>3.0</v>
      </c>
      <c r="F9" s="34">
        <v>4.0</v>
      </c>
      <c r="G9" s="34">
        <v>5.0</v>
      </c>
      <c r="H9" s="34">
        <v>6.0</v>
      </c>
      <c r="I9" s="34">
        <v>7.0</v>
      </c>
      <c r="J9" s="35">
        <v>8.0</v>
      </c>
      <c r="K9" s="35">
        <v>9.0</v>
      </c>
      <c r="L9" s="35">
        <v>10.0</v>
      </c>
      <c r="M9" s="35">
        <v>11.0</v>
      </c>
      <c r="N9" s="35">
        <v>12.0</v>
      </c>
      <c r="O9" s="35">
        <v>13.0</v>
      </c>
      <c r="P9" s="35">
        <v>14.0</v>
      </c>
      <c r="Q9" s="34">
        <v>15.0</v>
      </c>
      <c r="R9" s="34">
        <v>16.0</v>
      </c>
      <c r="S9" s="34">
        <v>17.0</v>
      </c>
      <c r="T9" s="34">
        <v>18.0</v>
      </c>
      <c r="U9" s="34">
        <v>19.0</v>
      </c>
      <c r="V9" s="34">
        <v>20.0</v>
      </c>
      <c r="W9" s="34">
        <v>21.0</v>
      </c>
      <c r="X9" s="35">
        <v>22.0</v>
      </c>
      <c r="Y9" s="35">
        <v>23.0</v>
      </c>
      <c r="Z9" s="35">
        <v>24.0</v>
      </c>
      <c r="AA9" s="35">
        <v>25.0</v>
      </c>
      <c r="AB9" s="35">
        <v>26.0</v>
      </c>
      <c r="AC9" s="35">
        <v>27.0</v>
      </c>
      <c r="AD9" s="35">
        <v>28.0</v>
      </c>
      <c r="AE9" s="34">
        <v>29.0</v>
      </c>
      <c r="AF9" s="34">
        <v>30.0</v>
      </c>
      <c r="AG9" s="9"/>
      <c r="AH9" s="40" t="s">
        <v>26</v>
      </c>
      <c r="AI9" s="40" t="s">
        <v>27</v>
      </c>
      <c r="AJ9" s="41" t="s">
        <v>11</v>
      </c>
      <c r="AK9" s="26"/>
      <c r="AL9" s="27"/>
    </row>
    <row r="10">
      <c r="B10" s="42" t="s">
        <v>28</v>
      </c>
      <c r="C10" s="43" t="b">
        <v>1</v>
      </c>
      <c r="D10" s="43" t="b">
        <v>0</v>
      </c>
      <c r="E10" s="43" t="b">
        <v>0</v>
      </c>
      <c r="F10" s="43" t="b">
        <v>0</v>
      </c>
      <c r="G10" s="43" t="b">
        <v>0</v>
      </c>
      <c r="H10" s="43" t="b">
        <v>0</v>
      </c>
      <c r="I10" s="43" t="b">
        <v>0</v>
      </c>
      <c r="J10" s="44" t="b">
        <v>0</v>
      </c>
      <c r="K10" s="44" t="b">
        <v>0</v>
      </c>
      <c r="L10" s="44" t="b">
        <v>0</v>
      </c>
      <c r="M10" s="44" t="b">
        <v>0</v>
      </c>
      <c r="N10" s="44" t="b">
        <v>0</v>
      </c>
      <c r="O10" s="44" t="b">
        <v>1</v>
      </c>
      <c r="P10" s="44" t="b">
        <v>1</v>
      </c>
      <c r="Q10" s="43" t="b">
        <v>1</v>
      </c>
      <c r="R10" s="43" t="b">
        <v>0</v>
      </c>
      <c r="S10" s="43" t="b">
        <v>1</v>
      </c>
      <c r="T10" s="43" t="b">
        <v>1</v>
      </c>
      <c r="U10" s="43" t="b">
        <v>1</v>
      </c>
      <c r="V10" s="43" t="b">
        <v>0</v>
      </c>
      <c r="W10" s="43" t="b">
        <v>0</v>
      </c>
      <c r="X10" s="44" t="b">
        <v>0</v>
      </c>
      <c r="Y10" s="44" t="b">
        <v>1</v>
      </c>
      <c r="Z10" s="44" t="b">
        <v>0</v>
      </c>
      <c r="AA10" s="44" t="b">
        <v>0</v>
      </c>
      <c r="AB10" s="44" t="b">
        <v>1</v>
      </c>
      <c r="AC10" s="44" t="b">
        <v>0</v>
      </c>
      <c r="AD10" s="44" t="b">
        <v>0</v>
      </c>
      <c r="AE10" s="43" t="b">
        <v>0</v>
      </c>
      <c r="AF10" s="43" t="b">
        <v>1</v>
      </c>
      <c r="AG10" s="9"/>
      <c r="AH10" s="45">
        <f t="shared" ref="AH10:AH19" si="1">30</f>
        <v>30</v>
      </c>
      <c r="AI10" s="46">
        <f t="shared" ref="AI10:AI19" si="2">COUNTIF(C10:AF10, TRUE)</f>
        <v>10</v>
      </c>
      <c r="AJ10" s="29" t="str">
        <f>IFERROR(__xludf.DUMMYFUNCTION("SPARKLINE(AI10/AH10, {""charttype"",""bar"";""max"",1;""color1"",""#90EE90""})"),"")</f>
        <v/>
      </c>
      <c r="AK10" s="26"/>
      <c r="AL10" s="27"/>
      <c r="AM10" s="9"/>
    </row>
    <row r="11">
      <c r="B11" s="42" t="s">
        <v>29</v>
      </c>
      <c r="C11" s="43" t="b">
        <v>1</v>
      </c>
      <c r="D11" s="43" t="b">
        <v>0</v>
      </c>
      <c r="E11" s="43" t="b">
        <v>0</v>
      </c>
      <c r="F11" s="43" t="b">
        <v>0</v>
      </c>
      <c r="G11" s="43" t="b">
        <v>0</v>
      </c>
      <c r="H11" s="43" t="b">
        <v>0</v>
      </c>
      <c r="I11" s="43" t="b">
        <v>0</v>
      </c>
      <c r="J11" s="44" t="b">
        <v>0</v>
      </c>
      <c r="K11" s="44" t="b">
        <v>0</v>
      </c>
      <c r="L11" s="44" t="b">
        <v>0</v>
      </c>
      <c r="M11" s="44" t="b">
        <v>0</v>
      </c>
      <c r="N11" s="44" t="b">
        <v>0</v>
      </c>
      <c r="O11" s="44" t="b">
        <v>1</v>
      </c>
      <c r="P11" s="44" t="b">
        <v>1</v>
      </c>
      <c r="Q11" s="43" t="b">
        <v>1</v>
      </c>
      <c r="R11" s="43" t="b">
        <v>0</v>
      </c>
      <c r="S11" s="43" t="b">
        <v>1</v>
      </c>
      <c r="T11" s="43" t="b">
        <v>1</v>
      </c>
      <c r="U11" s="43" t="b">
        <v>1</v>
      </c>
      <c r="V11" s="43" t="b">
        <v>0</v>
      </c>
      <c r="W11" s="43" t="b">
        <v>0</v>
      </c>
      <c r="X11" s="44" t="b">
        <v>1</v>
      </c>
      <c r="Y11" s="44" t="b">
        <v>1</v>
      </c>
      <c r="Z11" s="44" t="b">
        <v>0</v>
      </c>
      <c r="AA11" s="44" t="b">
        <v>1</v>
      </c>
      <c r="AB11" s="44" t="b">
        <v>1</v>
      </c>
      <c r="AC11" s="44" t="b">
        <v>1</v>
      </c>
      <c r="AD11" s="44" t="b">
        <v>0</v>
      </c>
      <c r="AE11" s="43" t="b">
        <v>0</v>
      </c>
      <c r="AF11" s="43" t="b">
        <v>0</v>
      </c>
      <c r="AG11" s="9"/>
      <c r="AH11" s="45">
        <f t="shared" si="1"/>
        <v>30</v>
      </c>
      <c r="AI11" s="46">
        <f t="shared" si="2"/>
        <v>12</v>
      </c>
      <c r="AJ11" s="29" t="str">
        <f>IFERROR(__xludf.DUMMYFUNCTION("SPARKLINE(AI11/AH11, {""charttype"",""bar"";""max"",1;""color1"",""#90EE90""})"),"")</f>
        <v/>
      </c>
      <c r="AK11" s="26"/>
      <c r="AL11" s="27"/>
      <c r="AM11" s="9"/>
    </row>
    <row r="12">
      <c r="B12" s="42" t="s">
        <v>30</v>
      </c>
      <c r="C12" s="43" t="b">
        <v>1</v>
      </c>
      <c r="D12" s="43" t="b">
        <v>1</v>
      </c>
      <c r="E12" s="43" t="b">
        <v>1</v>
      </c>
      <c r="F12" s="43" t="b">
        <v>0</v>
      </c>
      <c r="G12" s="43" t="b">
        <v>1</v>
      </c>
      <c r="H12" s="43" t="b">
        <v>1</v>
      </c>
      <c r="I12" s="43" t="b">
        <v>0</v>
      </c>
      <c r="J12" s="44" t="b">
        <v>1</v>
      </c>
      <c r="K12" s="44" t="b">
        <v>1</v>
      </c>
      <c r="L12" s="44" t="b">
        <v>1</v>
      </c>
      <c r="M12" s="44" t="b">
        <v>1</v>
      </c>
      <c r="N12" s="44" t="b">
        <v>0</v>
      </c>
      <c r="O12" s="44" t="b">
        <v>1</v>
      </c>
      <c r="P12" s="44" t="b">
        <v>1</v>
      </c>
      <c r="Q12" s="43" t="b">
        <v>1</v>
      </c>
      <c r="R12" s="43" t="b">
        <v>0</v>
      </c>
      <c r="S12" s="43" t="b">
        <v>0</v>
      </c>
      <c r="T12" s="43" t="b">
        <v>1</v>
      </c>
      <c r="U12" s="43" t="b">
        <v>1</v>
      </c>
      <c r="V12" s="43" t="b">
        <v>0</v>
      </c>
      <c r="W12" s="43" t="b">
        <v>0</v>
      </c>
      <c r="X12" s="44" t="b">
        <v>1</v>
      </c>
      <c r="Y12" s="44" t="b">
        <v>1</v>
      </c>
      <c r="Z12" s="44" t="b">
        <v>0</v>
      </c>
      <c r="AA12" s="44" t="b">
        <v>1</v>
      </c>
      <c r="AB12" s="44" t="b">
        <v>0</v>
      </c>
      <c r="AC12" s="44" t="b">
        <v>1</v>
      </c>
      <c r="AD12" s="44" t="b">
        <v>0</v>
      </c>
      <c r="AE12" s="43" t="b">
        <v>1</v>
      </c>
      <c r="AF12" s="43" t="b">
        <v>1</v>
      </c>
      <c r="AG12" s="9"/>
      <c r="AH12" s="45">
        <f t="shared" si="1"/>
        <v>30</v>
      </c>
      <c r="AI12" s="46">
        <f t="shared" si="2"/>
        <v>20</v>
      </c>
      <c r="AJ12" s="29" t="str">
        <f>IFERROR(__xludf.DUMMYFUNCTION("SPARKLINE(AI12/AH12, {""charttype"",""bar"";""max"",1;""color1"",""#90EE90""})"),"")</f>
        <v/>
      </c>
      <c r="AK12" s="26"/>
      <c r="AL12" s="27"/>
      <c r="AM12" s="9"/>
    </row>
    <row r="13">
      <c r="B13" s="42" t="s">
        <v>31</v>
      </c>
      <c r="C13" s="43" t="b">
        <v>1</v>
      </c>
      <c r="D13" s="43" t="b">
        <v>1</v>
      </c>
      <c r="E13" s="43" t="b">
        <v>1</v>
      </c>
      <c r="F13" s="43" t="b">
        <v>0</v>
      </c>
      <c r="G13" s="43" t="b">
        <v>1</v>
      </c>
      <c r="H13" s="43" t="b">
        <v>1</v>
      </c>
      <c r="I13" s="43" t="b">
        <v>0</v>
      </c>
      <c r="J13" s="44" t="b">
        <v>1</v>
      </c>
      <c r="K13" s="44" t="b">
        <v>1</v>
      </c>
      <c r="L13" s="44" t="b">
        <v>0</v>
      </c>
      <c r="M13" s="44" t="b">
        <v>0</v>
      </c>
      <c r="N13" s="44" t="b">
        <v>1</v>
      </c>
      <c r="O13" s="44" t="b">
        <v>1</v>
      </c>
      <c r="P13" s="44" t="b">
        <v>1</v>
      </c>
      <c r="Q13" s="43" t="b">
        <v>1</v>
      </c>
      <c r="R13" s="43" t="b">
        <v>0</v>
      </c>
      <c r="S13" s="43" t="b">
        <v>1</v>
      </c>
      <c r="T13" s="43" t="b">
        <v>1</v>
      </c>
      <c r="U13" s="43" t="b">
        <v>1</v>
      </c>
      <c r="V13" s="43" t="b">
        <v>1</v>
      </c>
      <c r="W13" s="43" t="b">
        <v>0</v>
      </c>
      <c r="X13" s="44" t="b">
        <v>1</v>
      </c>
      <c r="Y13" s="44" t="b">
        <v>1</v>
      </c>
      <c r="Z13" s="44" t="b">
        <v>1</v>
      </c>
      <c r="AA13" s="44" t="b">
        <v>0</v>
      </c>
      <c r="AB13" s="44" t="b">
        <v>0</v>
      </c>
      <c r="AC13" s="44" t="b">
        <v>1</v>
      </c>
      <c r="AD13" s="44" t="b">
        <v>1</v>
      </c>
      <c r="AE13" s="43" t="b">
        <v>1</v>
      </c>
      <c r="AF13" s="43" t="b">
        <v>1</v>
      </c>
      <c r="AG13" s="9"/>
      <c r="AH13" s="45">
        <f t="shared" si="1"/>
        <v>30</v>
      </c>
      <c r="AI13" s="46">
        <f t="shared" si="2"/>
        <v>22</v>
      </c>
      <c r="AJ13" s="29" t="str">
        <f>IFERROR(__xludf.DUMMYFUNCTION("SPARKLINE(AI13/AH13, {""charttype"",""bar"";""max"",1;""color1"",""#90EE90""})"),"")</f>
        <v/>
      </c>
      <c r="AK13" s="26"/>
      <c r="AL13" s="27"/>
      <c r="AM13" s="9"/>
    </row>
    <row r="14">
      <c r="B14" s="42" t="s">
        <v>32</v>
      </c>
      <c r="C14" s="43" t="b">
        <v>1</v>
      </c>
      <c r="D14" s="43" t="b">
        <v>1</v>
      </c>
      <c r="E14" s="43" t="b">
        <v>1</v>
      </c>
      <c r="F14" s="43" t="b">
        <v>0</v>
      </c>
      <c r="G14" s="43" t="b">
        <v>1</v>
      </c>
      <c r="H14" s="43" t="b">
        <v>1</v>
      </c>
      <c r="I14" s="43" t="b">
        <v>0</v>
      </c>
      <c r="J14" s="44" t="b">
        <v>0</v>
      </c>
      <c r="K14" s="44" t="b">
        <v>1</v>
      </c>
      <c r="L14" s="44" t="b">
        <v>0</v>
      </c>
      <c r="M14" s="44" t="b">
        <v>0</v>
      </c>
      <c r="N14" s="44" t="b">
        <v>1</v>
      </c>
      <c r="O14" s="44" t="b">
        <v>1</v>
      </c>
      <c r="P14" s="44" t="b">
        <v>0</v>
      </c>
      <c r="Q14" s="43" t="b">
        <v>0</v>
      </c>
      <c r="R14" s="43" t="b">
        <v>0</v>
      </c>
      <c r="S14" s="43" t="b">
        <v>1</v>
      </c>
      <c r="T14" s="43" t="b">
        <v>1</v>
      </c>
      <c r="U14" s="43" t="b">
        <v>1</v>
      </c>
      <c r="V14" s="43" t="b">
        <v>1</v>
      </c>
      <c r="W14" s="43" t="b">
        <v>1</v>
      </c>
      <c r="X14" s="44" t="b">
        <v>1</v>
      </c>
      <c r="Y14" s="44" t="b">
        <v>1</v>
      </c>
      <c r="Z14" s="44" t="b">
        <v>1</v>
      </c>
      <c r="AA14" s="44" t="b">
        <v>0</v>
      </c>
      <c r="AB14" s="44" t="b">
        <v>1</v>
      </c>
      <c r="AC14" s="44" t="b">
        <v>1</v>
      </c>
      <c r="AD14" s="44" t="b">
        <v>1</v>
      </c>
      <c r="AE14" s="43" t="b">
        <v>0</v>
      </c>
      <c r="AF14" s="43" t="b">
        <v>1</v>
      </c>
      <c r="AG14" s="9"/>
      <c r="AH14" s="45">
        <f t="shared" si="1"/>
        <v>30</v>
      </c>
      <c r="AI14" s="46">
        <f t="shared" si="2"/>
        <v>20</v>
      </c>
      <c r="AJ14" s="29" t="str">
        <f>IFERROR(__xludf.DUMMYFUNCTION("SPARKLINE(AI14/AH14, {""charttype"",""bar"";""max"",1;""color1"",""#90EE90""})"),"")</f>
        <v/>
      </c>
      <c r="AK14" s="26"/>
      <c r="AL14" s="27"/>
      <c r="AM14" s="9"/>
    </row>
    <row r="15">
      <c r="B15" s="42" t="s">
        <v>33</v>
      </c>
      <c r="C15" s="43" t="b">
        <v>1</v>
      </c>
      <c r="D15" s="43" t="b">
        <v>1</v>
      </c>
      <c r="E15" s="43" t="b">
        <v>1</v>
      </c>
      <c r="F15" s="43" t="b">
        <v>1</v>
      </c>
      <c r="G15" s="43" t="b">
        <v>1</v>
      </c>
      <c r="H15" s="43" t="b">
        <v>1</v>
      </c>
      <c r="I15" s="43" t="b">
        <v>1</v>
      </c>
      <c r="J15" s="44" t="b">
        <v>1</v>
      </c>
      <c r="K15" s="44" t="b">
        <v>1</v>
      </c>
      <c r="L15" s="44" t="b">
        <v>0</v>
      </c>
      <c r="M15" s="44" t="b">
        <v>0</v>
      </c>
      <c r="N15" s="44" t="b">
        <v>1</v>
      </c>
      <c r="O15" s="44" t="b">
        <v>1</v>
      </c>
      <c r="P15" s="44" t="b">
        <v>1</v>
      </c>
      <c r="Q15" s="43" t="b">
        <v>0</v>
      </c>
      <c r="R15" s="43" t="b">
        <v>1</v>
      </c>
      <c r="S15" s="43" t="b">
        <v>1</v>
      </c>
      <c r="T15" s="43" t="b">
        <v>1</v>
      </c>
      <c r="U15" s="43" t="b">
        <v>0</v>
      </c>
      <c r="V15" s="43" t="b">
        <v>1</v>
      </c>
      <c r="W15" s="43" t="b">
        <v>1</v>
      </c>
      <c r="X15" s="44" t="b">
        <v>1</v>
      </c>
      <c r="Y15" s="44" t="b">
        <v>1</v>
      </c>
      <c r="Z15" s="44" t="b">
        <v>1</v>
      </c>
      <c r="AA15" s="44" t="b">
        <v>0</v>
      </c>
      <c r="AB15" s="44" t="b">
        <v>1</v>
      </c>
      <c r="AC15" s="44" t="b">
        <v>0</v>
      </c>
      <c r="AD15" s="44" t="b">
        <v>1</v>
      </c>
      <c r="AE15" s="43" t="b">
        <v>1</v>
      </c>
      <c r="AF15" s="43" t="b">
        <v>1</v>
      </c>
      <c r="AG15" s="9"/>
      <c r="AH15" s="45">
        <f t="shared" si="1"/>
        <v>30</v>
      </c>
      <c r="AI15" s="46">
        <f t="shared" si="2"/>
        <v>24</v>
      </c>
      <c r="AJ15" s="29" t="str">
        <f>IFERROR(__xludf.DUMMYFUNCTION("SPARKLINE(AI15/AH15, {""charttype"",""bar"";""max"",1;""color1"",""#90EE90""})"),"")</f>
        <v/>
      </c>
      <c r="AK15" s="26"/>
      <c r="AL15" s="27"/>
      <c r="AM15" s="9"/>
    </row>
    <row r="16">
      <c r="B16" s="42" t="s">
        <v>34</v>
      </c>
      <c r="C16" s="43" t="b">
        <v>1</v>
      </c>
      <c r="D16" s="43" t="b">
        <v>1</v>
      </c>
      <c r="E16" s="43" t="b">
        <v>1</v>
      </c>
      <c r="F16" s="43" t="b">
        <v>1</v>
      </c>
      <c r="G16" s="43" t="b">
        <v>0</v>
      </c>
      <c r="H16" s="43" t="b">
        <v>0</v>
      </c>
      <c r="I16" s="43" t="b">
        <v>1</v>
      </c>
      <c r="J16" s="44" t="b">
        <v>0</v>
      </c>
      <c r="K16" s="44" t="b">
        <v>0</v>
      </c>
      <c r="L16" s="44" t="b">
        <v>1</v>
      </c>
      <c r="M16" s="44" t="b">
        <v>0</v>
      </c>
      <c r="N16" s="44" t="b">
        <v>0</v>
      </c>
      <c r="O16" s="44" t="b">
        <v>0</v>
      </c>
      <c r="P16" s="44" t="b">
        <v>0</v>
      </c>
      <c r="Q16" s="43" t="b">
        <v>0</v>
      </c>
      <c r="R16" s="43" t="b">
        <v>1</v>
      </c>
      <c r="S16" s="43" t="b">
        <v>1</v>
      </c>
      <c r="T16" s="43" t="b">
        <v>0</v>
      </c>
      <c r="U16" s="43" t="b">
        <v>0</v>
      </c>
      <c r="V16" s="43" t="b">
        <v>0</v>
      </c>
      <c r="W16" s="43" t="b">
        <v>1</v>
      </c>
      <c r="X16" s="44" t="b">
        <v>0</v>
      </c>
      <c r="Y16" s="44" t="b">
        <v>0</v>
      </c>
      <c r="Z16" s="44" t="b">
        <v>0</v>
      </c>
      <c r="AA16" s="44" t="b">
        <v>1</v>
      </c>
      <c r="AB16" s="44" t="b">
        <v>1</v>
      </c>
      <c r="AC16" s="44" t="b">
        <v>1</v>
      </c>
      <c r="AD16" s="44" t="b">
        <v>1</v>
      </c>
      <c r="AE16" s="43" t="b">
        <v>1</v>
      </c>
      <c r="AF16" s="43" t="b">
        <v>1</v>
      </c>
      <c r="AG16" s="9"/>
      <c r="AH16" s="45">
        <f t="shared" si="1"/>
        <v>30</v>
      </c>
      <c r="AI16" s="46">
        <f t="shared" si="2"/>
        <v>15</v>
      </c>
      <c r="AJ16" s="29" t="str">
        <f>IFERROR(__xludf.DUMMYFUNCTION("SPARKLINE(AI16/AH16, {""charttype"",""bar"";""max"",1;""color1"",""#90EE90""})"),"")</f>
        <v/>
      </c>
      <c r="AK16" s="26"/>
      <c r="AL16" s="27"/>
      <c r="AM16" s="9"/>
    </row>
    <row r="17">
      <c r="B17" s="42" t="s">
        <v>35</v>
      </c>
      <c r="C17" s="43" t="b">
        <v>1</v>
      </c>
      <c r="D17" s="43" t="b">
        <v>1</v>
      </c>
      <c r="E17" s="43" t="b">
        <v>1</v>
      </c>
      <c r="F17" s="43" t="b">
        <v>1</v>
      </c>
      <c r="G17" s="43" t="b">
        <v>0</v>
      </c>
      <c r="H17" s="43" t="b">
        <v>0</v>
      </c>
      <c r="I17" s="43" t="b">
        <v>1</v>
      </c>
      <c r="J17" s="44" t="b">
        <v>0</v>
      </c>
      <c r="K17" s="44" t="b">
        <v>0</v>
      </c>
      <c r="L17" s="44" t="b">
        <v>1</v>
      </c>
      <c r="M17" s="44" t="b">
        <v>0</v>
      </c>
      <c r="N17" s="44" t="b">
        <v>0</v>
      </c>
      <c r="O17" s="44" t="b">
        <v>0</v>
      </c>
      <c r="P17" s="44" t="b">
        <v>0</v>
      </c>
      <c r="Q17" s="43" t="b">
        <v>0</v>
      </c>
      <c r="R17" s="43" t="b">
        <v>1</v>
      </c>
      <c r="S17" s="43" t="b">
        <v>0</v>
      </c>
      <c r="T17" s="43" t="b">
        <v>0</v>
      </c>
      <c r="U17" s="43" t="b">
        <v>0</v>
      </c>
      <c r="V17" s="43" t="b">
        <v>0</v>
      </c>
      <c r="W17" s="43" t="b">
        <v>0</v>
      </c>
      <c r="X17" s="44" t="b">
        <v>0</v>
      </c>
      <c r="Y17" s="44" t="b">
        <v>0</v>
      </c>
      <c r="Z17" s="44" t="b">
        <v>0</v>
      </c>
      <c r="AA17" s="44" t="b">
        <v>0</v>
      </c>
      <c r="AB17" s="44" t="b">
        <v>0</v>
      </c>
      <c r="AC17" s="44" t="b">
        <v>0</v>
      </c>
      <c r="AD17" s="44" t="b">
        <v>0</v>
      </c>
      <c r="AE17" s="43" t="b">
        <v>0</v>
      </c>
      <c r="AF17" s="43" t="b">
        <v>0</v>
      </c>
      <c r="AG17" s="9"/>
      <c r="AH17" s="45">
        <f t="shared" si="1"/>
        <v>30</v>
      </c>
      <c r="AI17" s="46">
        <f t="shared" si="2"/>
        <v>7</v>
      </c>
      <c r="AJ17" s="29" t="str">
        <f>IFERROR(__xludf.DUMMYFUNCTION("SPARKLINE(AI17/AH17, {""charttype"",""bar"";""max"",1;""color1"",""#90EE90""})"),"")</f>
        <v/>
      </c>
      <c r="AK17" s="26"/>
      <c r="AL17" s="27"/>
      <c r="AM17" s="9"/>
    </row>
    <row r="18">
      <c r="B18" s="42" t="s">
        <v>36</v>
      </c>
      <c r="C18" s="43" t="b">
        <v>0</v>
      </c>
      <c r="D18" s="43" t="b">
        <v>0</v>
      </c>
      <c r="E18" s="43" t="b">
        <v>1</v>
      </c>
      <c r="F18" s="43" t="b">
        <v>1</v>
      </c>
      <c r="G18" s="43" t="b">
        <v>0</v>
      </c>
      <c r="H18" s="43" t="b">
        <v>0</v>
      </c>
      <c r="I18" s="43" t="b">
        <v>0</v>
      </c>
      <c r="J18" s="44" t="b">
        <v>0</v>
      </c>
      <c r="K18" s="44" t="b">
        <v>0</v>
      </c>
      <c r="L18" s="44" t="b">
        <v>0</v>
      </c>
      <c r="M18" s="44" t="b">
        <v>0</v>
      </c>
      <c r="N18" s="44" t="b">
        <v>0</v>
      </c>
      <c r="O18" s="44" t="b">
        <v>0</v>
      </c>
      <c r="P18" s="44" t="b">
        <v>0</v>
      </c>
      <c r="Q18" s="43" t="b">
        <v>0</v>
      </c>
      <c r="R18" s="43" t="b">
        <v>1</v>
      </c>
      <c r="S18" s="43" t="b">
        <v>0</v>
      </c>
      <c r="T18" s="43" t="b">
        <v>0</v>
      </c>
      <c r="U18" s="43" t="b">
        <v>0</v>
      </c>
      <c r="V18" s="43" t="b">
        <v>0</v>
      </c>
      <c r="W18" s="43" t="b">
        <v>0</v>
      </c>
      <c r="X18" s="44" t="b">
        <v>0</v>
      </c>
      <c r="Y18" s="44" t="b">
        <v>0</v>
      </c>
      <c r="Z18" s="44" t="b">
        <v>0</v>
      </c>
      <c r="AA18" s="44" t="b">
        <v>0</v>
      </c>
      <c r="AB18" s="44" t="b">
        <v>0</v>
      </c>
      <c r="AC18" s="44" t="b">
        <v>0</v>
      </c>
      <c r="AD18" s="44" t="b">
        <v>0</v>
      </c>
      <c r="AE18" s="43" t="b">
        <v>0</v>
      </c>
      <c r="AF18" s="43" t="b">
        <v>0</v>
      </c>
      <c r="AG18" s="9"/>
      <c r="AH18" s="45">
        <f t="shared" si="1"/>
        <v>30</v>
      </c>
      <c r="AI18" s="46">
        <f t="shared" si="2"/>
        <v>3</v>
      </c>
      <c r="AJ18" s="29" t="str">
        <f>IFERROR(__xludf.DUMMYFUNCTION("SPARKLINE(AI18/AH18, {""charttype"",""bar"";""max"",1;""color1"",""#90EE90""})"),"")</f>
        <v/>
      </c>
      <c r="AK18" s="26"/>
      <c r="AL18" s="27"/>
      <c r="AM18" s="9"/>
    </row>
    <row r="19">
      <c r="B19" s="42" t="s">
        <v>37</v>
      </c>
      <c r="C19" s="43" t="b">
        <v>0</v>
      </c>
      <c r="D19" s="43" t="b">
        <v>0</v>
      </c>
      <c r="E19" s="43" t="b">
        <v>0</v>
      </c>
      <c r="F19" s="43" t="b">
        <v>0</v>
      </c>
      <c r="G19" s="43" t="b">
        <v>0</v>
      </c>
      <c r="H19" s="43" t="b">
        <v>0</v>
      </c>
      <c r="I19" s="43" t="b">
        <v>0</v>
      </c>
      <c r="J19" s="44" t="b">
        <v>0</v>
      </c>
      <c r="K19" s="44" t="b">
        <v>0</v>
      </c>
      <c r="L19" s="44" t="b">
        <v>0</v>
      </c>
      <c r="M19" s="44" t="b">
        <v>0</v>
      </c>
      <c r="N19" s="44" t="b">
        <v>0</v>
      </c>
      <c r="O19" s="44" t="b">
        <v>0</v>
      </c>
      <c r="P19" s="44" t="b">
        <v>0</v>
      </c>
      <c r="Q19" s="43" t="b">
        <v>0</v>
      </c>
      <c r="R19" s="43" t="b">
        <v>1</v>
      </c>
      <c r="S19" s="43" t="b">
        <v>0</v>
      </c>
      <c r="T19" s="43" t="b">
        <v>0</v>
      </c>
      <c r="U19" s="43" t="b">
        <v>0</v>
      </c>
      <c r="V19" s="43" t="b">
        <v>0</v>
      </c>
      <c r="W19" s="43" t="b">
        <v>0</v>
      </c>
      <c r="X19" s="44" t="b">
        <v>0</v>
      </c>
      <c r="Y19" s="44" t="b">
        <v>0</v>
      </c>
      <c r="Z19" s="44" t="b">
        <v>0</v>
      </c>
      <c r="AA19" s="44" t="b">
        <v>0</v>
      </c>
      <c r="AB19" s="44" t="b">
        <v>0</v>
      </c>
      <c r="AC19" s="44" t="b">
        <v>0</v>
      </c>
      <c r="AD19" s="44" t="b">
        <v>0</v>
      </c>
      <c r="AE19" s="43" t="b">
        <v>0</v>
      </c>
      <c r="AF19" s="43" t="b">
        <v>0</v>
      </c>
      <c r="AG19" s="9"/>
      <c r="AH19" s="45">
        <f t="shared" si="1"/>
        <v>30</v>
      </c>
      <c r="AI19" s="46">
        <f t="shared" si="2"/>
        <v>1</v>
      </c>
      <c r="AJ19" s="29" t="str">
        <f>IFERROR(__xludf.DUMMYFUNCTION("SPARKLINE(AI19/AH19, {""charttype"",""bar"";""max"",1;""color1"",""#90EE90""})"),"")</f>
        <v/>
      </c>
      <c r="AK19" s="26"/>
      <c r="AL19" s="27"/>
      <c r="AM19" s="9"/>
    </row>
    <row r="20">
      <c r="B20" s="47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</row>
    <row r="21">
      <c r="B21" s="40" t="s">
        <v>11</v>
      </c>
      <c r="C21" s="49">
        <f t="shared" ref="C21:AF21" si="3">COUNTIF(C10:C19, TRUE)/COUNTA(C10:C19)</f>
        <v>0.8</v>
      </c>
      <c r="D21" s="49">
        <f t="shared" si="3"/>
        <v>0.6</v>
      </c>
      <c r="E21" s="49">
        <f t="shared" si="3"/>
        <v>0.7</v>
      </c>
      <c r="F21" s="49">
        <f t="shared" si="3"/>
        <v>0.4</v>
      </c>
      <c r="G21" s="49">
        <f t="shared" si="3"/>
        <v>0.4</v>
      </c>
      <c r="H21" s="49">
        <f t="shared" si="3"/>
        <v>0.4</v>
      </c>
      <c r="I21" s="49">
        <f t="shared" si="3"/>
        <v>0.3</v>
      </c>
      <c r="J21" s="49">
        <f t="shared" si="3"/>
        <v>0.3</v>
      </c>
      <c r="K21" s="49">
        <f t="shared" si="3"/>
        <v>0.4</v>
      </c>
      <c r="L21" s="49">
        <f t="shared" si="3"/>
        <v>0.3</v>
      </c>
      <c r="M21" s="49">
        <f t="shared" si="3"/>
        <v>0.1</v>
      </c>
      <c r="N21" s="49">
        <f t="shared" si="3"/>
        <v>0.3</v>
      </c>
      <c r="O21" s="49">
        <f t="shared" si="3"/>
        <v>0.6</v>
      </c>
      <c r="P21" s="49">
        <f t="shared" si="3"/>
        <v>0.5</v>
      </c>
      <c r="Q21" s="49">
        <f t="shared" si="3"/>
        <v>0.4</v>
      </c>
      <c r="R21" s="49">
        <f t="shared" si="3"/>
        <v>0.5</v>
      </c>
      <c r="S21" s="49">
        <f t="shared" si="3"/>
        <v>0.6</v>
      </c>
      <c r="T21" s="49">
        <f t="shared" si="3"/>
        <v>0.6</v>
      </c>
      <c r="U21" s="49">
        <f t="shared" si="3"/>
        <v>0.5</v>
      </c>
      <c r="V21" s="49">
        <f t="shared" si="3"/>
        <v>0.3</v>
      </c>
      <c r="W21" s="49">
        <f t="shared" si="3"/>
        <v>0.3</v>
      </c>
      <c r="X21" s="49">
        <f t="shared" si="3"/>
        <v>0.5</v>
      </c>
      <c r="Y21" s="49">
        <f t="shared" si="3"/>
        <v>0.6</v>
      </c>
      <c r="Z21" s="49">
        <f t="shared" si="3"/>
        <v>0.3</v>
      </c>
      <c r="AA21" s="49">
        <f t="shared" si="3"/>
        <v>0.3</v>
      </c>
      <c r="AB21" s="49">
        <f t="shared" si="3"/>
        <v>0.5</v>
      </c>
      <c r="AC21" s="49">
        <f t="shared" si="3"/>
        <v>0.5</v>
      </c>
      <c r="AD21" s="49">
        <f t="shared" si="3"/>
        <v>0.4</v>
      </c>
      <c r="AE21" s="49">
        <f t="shared" si="3"/>
        <v>0.4</v>
      </c>
      <c r="AF21" s="49">
        <f t="shared" si="3"/>
        <v>0.6</v>
      </c>
    </row>
    <row r="22">
      <c r="B22" s="40" t="s">
        <v>38</v>
      </c>
      <c r="C22" s="46">
        <f t="shared" ref="C22:AF22" si="4">COUNTIF(C10:C19, TRUE)</f>
        <v>8</v>
      </c>
      <c r="D22" s="46">
        <f t="shared" si="4"/>
        <v>6</v>
      </c>
      <c r="E22" s="46">
        <f t="shared" si="4"/>
        <v>7</v>
      </c>
      <c r="F22" s="46">
        <f t="shared" si="4"/>
        <v>4</v>
      </c>
      <c r="G22" s="46">
        <f t="shared" si="4"/>
        <v>4</v>
      </c>
      <c r="H22" s="46">
        <f t="shared" si="4"/>
        <v>4</v>
      </c>
      <c r="I22" s="46">
        <f t="shared" si="4"/>
        <v>3</v>
      </c>
      <c r="J22" s="46">
        <f t="shared" si="4"/>
        <v>3</v>
      </c>
      <c r="K22" s="46">
        <f t="shared" si="4"/>
        <v>4</v>
      </c>
      <c r="L22" s="46">
        <f t="shared" si="4"/>
        <v>3</v>
      </c>
      <c r="M22" s="46">
        <f t="shared" si="4"/>
        <v>1</v>
      </c>
      <c r="N22" s="46">
        <f t="shared" si="4"/>
        <v>3</v>
      </c>
      <c r="O22" s="46">
        <f t="shared" si="4"/>
        <v>6</v>
      </c>
      <c r="P22" s="46">
        <f t="shared" si="4"/>
        <v>5</v>
      </c>
      <c r="Q22" s="46">
        <f t="shared" si="4"/>
        <v>4</v>
      </c>
      <c r="R22" s="46">
        <f t="shared" si="4"/>
        <v>5</v>
      </c>
      <c r="S22" s="46">
        <f t="shared" si="4"/>
        <v>6</v>
      </c>
      <c r="T22" s="46">
        <f t="shared" si="4"/>
        <v>6</v>
      </c>
      <c r="U22" s="46">
        <f t="shared" si="4"/>
        <v>5</v>
      </c>
      <c r="V22" s="46">
        <f t="shared" si="4"/>
        <v>3</v>
      </c>
      <c r="W22" s="46">
        <f t="shared" si="4"/>
        <v>3</v>
      </c>
      <c r="X22" s="46">
        <f t="shared" si="4"/>
        <v>5</v>
      </c>
      <c r="Y22" s="46">
        <f t="shared" si="4"/>
        <v>6</v>
      </c>
      <c r="Z22" s="46">
        <f t="shared" si="4"/>
        <v>3</v>
      </c>
      <c r="AA22" s="46">
        <f t="shared" si="4"/>
        <v>3</v>
      </c>
      <c r="AB22" s="46">
        <f t="shared" si="4"/>
        <v>5</v>
      </c>
      <c r="AC22" s="46">
        <f t="shared" si="4"/>
        <v>5</v>
      </c>
      <c r="AD22" s="46">
        <f t="shared" si="4"/>
        <v>4</v>
      </c>
      <c r="AE22" s="46">
        <f t="shared" si="4"/>
        <v>4</v>
      </c>
      <c r="AF22" s="46">
        <f t="shared" si="4"/>
        <v>6</v>
      </c>
    </row>
    <row r="23">
      <c r="B23" s="40" t="s">
        <v>39</v>
      </c>
      <c r="C23" s="46">
        <f t="shared" ref="C23:AF23" si="5">COUNTIF(C10:C19, FALSE)</f>
        <v>2</v>
      </c>
      <c r="D23" s="46">
        <f t="shared" si="5"/>
        <v>4</v>
      </c>
      <c r="E23" s="46">
        <f t="shared" si="5"/>
        <v>3</v>
      </c>
      <c r="F23" s="46">
        <f t="shared" si="5"/>
        <v>6</v>
      </c>
      <c r="G23" s="46">
        <f t="shared" si="5"/>
        <v>6</v>
      </c>
      <c r="H23" s="46">
        <f t="shared" si="5"/>
        <v>6</v>
      </c>
      <c r="I23" s="46">
        <f t="shared" si="5"/>
        <v>7</v>
      </c>
      <c r="J23" s="46">
        <f t="shared" si="5"/>
        <v>7</v>
      </c>
      <c r="K23" s="46">
        <f t="shared" si="5"/>
        <v>6</v>
      </c>
      <c r="L23" s="46">
        <f t="shared" si="5"/>
        <v>7</v>
      </c>
      <c r="M23" s="46">
        <f t="shared" si="5"/>
        <v>9</v>
      </c>
      <c r="N23" s="46">
        <f t="shared" si="5"/>
        <v>7</v>
      </c>
      <c r="O23" s="46">
        <f t="shared" si="5"/>
        <v>4</v>
      </c>
      <c r="P23" s="46">
        <f t="shared" si="5"/>
        <v>5</v>
      </c>
      <c r="Q23" s="46">
        <f t="shared" si="5"/>
        <v>6</v>
      </c>
      <c r="R23" s="46">
        <f t="shared" si="5"/>
        <v>5</v>
      </c>
      <c r="S23" s="46">
        <f t="shared" si="5"/>
        <v>4</v>
      </c>
      <c r="T23" s="46">
        <f t="shared" si="5"/>
        <v>4</v>
      </c>
      <c r="U23" s="46">
        <f t="shared" si="5"/>
        <v>5</v>
      </c>
      <c r="V23" s="46">
        <f t="shared" si="5"/>
        <v>7</v>
      </c>
      <c r="W23" s="46">
        <f t="shared" si="5"/>
        <v>7</v>
      </c>
      <c r="X23" s="46">
        <f t="shared" si="5"/>
        <v>5</v>
      </c>
      <c r="Y23" s="46">
        <f t="shared" si="5"/>
        <v>4</v>
      </c>
      <c r="Z23" s="46">
        <f t="shared" si="5"/>
        <v>7</v>
      </c>
      <c r="AA23" s="46">
        <f t="shared" si="5"/>
        <v>7</v>
      </c>
      <c r="AB23" s="46">
        <f t="shared" si="5"/>
        <v>5</v>
      </c>
      <c r="AC23" s="46">
        <f t="shared" si="5"/>
        <v>5</v>
      </c>
      <c r="AD23" s="46">
        <f t="shared" si="5"/>
        <v>6</v>
      </c>
      <c r="AE23" s="46">
        <f t="shared" si="5"/>
        <v>6</v>
      </c>
      <c r="AF23" s="46">
        <f t="shared" si="5"/>
        <v>4</v>
      </c>
    </row>
    <row r="33">
      <c r="B33" s="50"/>
      <c r="C33" s="41" t="s">
        <v>40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>
      <c r="B34" s="40" t="s">
        <v>41</v>
      </c>
      <c r="C34" s="51">
        <v>9.0</v>
      </c>
      <c r="D34" s="51">
        <v>4.0</v>
      </c>
      <c r="E34" s="51">
        <v>6.0</v>
      </c>
      <c r="F34" s="51">
        <v>9.0</v>
      </c>
      <c r="G34" s="51">
        <v>9.0</v>
      </c>
      <c r="H34" s="51">
        <v>7.0</v>
      </c>
      <c r="I34" s="51">
        <v>9.0</v>
      </c>
      <c r="J34" s="51">
        <v>8.0</v>
      </c>
      <c r="K34" s="51">
        <v>6.0</v>
      </c>
      <c r="L34" s="51">
        <v>6.0</v>
      </c>
      <c r="M34" s="51">
        <v>4.0</v>
      </c>
      <c r="N34" s="51">
        <v>7.0</v>
      </c>
      <c r="O34" s="51">
        <v>3.0</v>
      </c>
      <c r="P34" s="51">
        <v>7.0</v>
      </c>
      <c r="Q34" s="51">
        <v>2.0</v>
      </c>
      <c r="R34" s="51">
        <v>5.0</v>
      </c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</row>
    <row r="35">
      <c r="B35" s="40" t="s">
        <v>42</v>
      </c>
      <c r="C35" s="51">
        <v>7.0</v>
      </c>
      <c r="D35" s="51">
        <v>8.0</v>
      </c>
      <c r="E35" s="51">
        <v>8.0</v>
      </c>
      <c r="F35" s="51">
        <v>8.0</v>
      </c>
      <c r="G35" s="52"/>
      <c r="H35" s="52"/>
      <c r="I35" s="51">
        <v>5.0</v>
      </c>
      <c r="J35" s="51">
        <v>5.0</v>
      </c>
      <c r="K35" s="51">
        <v>9.0</v>
      </c>
      <c r="L35" s="51">
        <v>7.0</v>
      </c>
      <c r="M35" s="51">
        <v>5.0</v>
      </c>
      <c r="N35" s="51">
        <v>7.0</v>
      </c>
      <c r="O35" s="51">
        <v>8.0</v>
      </c>
      <c r="P35" s="51">
        <v>5.0</v>
      </c>
      <c r="Q35" s="51">
        <v>5.0</v>
      </c>
      <c r="R35" s="51">
        <v>8.0</v>
      </c>
      <c r="S35" s="51">
        <v>8.0</v>
      </c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</row>
    <row r="36">
      <c r="C36" s="53">
        <f t="shared" ref="C36:AF36" si="6">(C35+C34)/20</f>
        <v>0.8</v>
      </c>
      <c r="D36" s="53">
        <f t="shared" si="6"/>
        <v>0.6</v>
      </c>
      <c r="E36" s="53">
        <f t="shared" si="6"/>
        <v>0.7</v>
      </c>
      <c r="F36" s="53">
        <f t="shared" si="6"/>
        <v>0.85</v>
      </c>
      <c r="G36" s="53">
        <f t="shared" si="6"/>
        <v>0.45</v>
      </c>
      <c r="H36" s="53">
        <f t="shared" si="6"/>
        <v>0.35</v>
      </c>
      <c r="I36" s="53">
        <f t="shared" si="6"/>
        <v>0.7</v>
      </c>
      <c r="J36" s="53">
        <f t="shared" si="6"/>
        <v>0.65</v>
      </c>
      <c r="K36" s="53">
        <f t="shared" si="6"/>
        <v>0.75</v>
      </c>
      <c r="L36" s="53">
        <f t="shared" si="6"/>
        <v>0.65</v>
      </c>
      <c r="M36" s="53">
        <f t="shared" si="6"/>
        <v>0.45</v>
      </c>
      <c r="N36" s="53">
        <f t="shared" si="6"/>
        <v>0.7</v>
      </c>
      <c r="O36" s="53">
        <f t="shared" si="6"/>
        <v>0.55</v>
      </c>
      <c r="P36" s="53">
        <f t="shared" si="6"/>
        <v>0.6</v>
      </c>
      <c r="Q36" s="53">
        <f t="shared" si="6"/>
        <v>0.35</v>
      </c>
      <c r="R36" s="53">
        <f t="shared" si="6"/>
        <v>0.65</v>
      </c>
      <c r="S36" s="53">
        <f t="shared" si="6"/>
        <v>0.4</v>
      </c>
      <c r="T36" s="53">
        <f t="shared" si="6"/>
        <v>0</v>
      </c>
      <c r="U36" s="53">
        <f t="shared" si="6"/>
        <v>0</v>
      </c>
      <c r="V36" s="53">
        <f t="shared" si="6"/>
        <v>0</v>
      </c>
      <c r="W36" s="53">
        <f t="shared" si="6"/>
        <v>0</v>
      </c>
      <c r="X36" s="53">
        <f t="shared" si="6"/>
        <v>0</v>
      </c>
      <c r="Y36" s="53">
        <f t="shared" si="6"/>
        <v>0</v>
      </c>
      <c r="Z36" s="53">
        <f t="shared" si="6"/>
        <v>0</v>
      </c>
      <c r="AA36" s="53">
        <f t="shared" si="6"/>
        <v>0</v>
      </c>
      <c r="AB36" s="53">
        <f t="shared" si="6"/>
        <v>0</v>
      </c>
      <c r="AC36" s="53">
        <f t="shared" si="6"/>
        <v>0</v>
      </c>
      <c r="AD36" s="53">
        <f t="shared" si="6"/>
        <v>0</v>
      </c>
      <c r="AE36" s="53">
        <f t="shared" si="6"/>
        <v>0</v>
      </c>
      <c r="AF36" s="53">
        <f t="shared" si="6"/>
        <v>0</v>
      </c>
    </row>
  </sheetData>
  <mergeCells count="28">
    <mergeCell ref="AB3:AD3"/>
    <mergeCell ref="AB4:AD4"/>
    <mergeCell ref="B3:H4"/>
    <mergeCell ref="J3:N3"/>
    <mergeCell ref="P3:T3"/>
    <mergeCell ref="V3:Z3"/>
    <mergeCell ref="J4:N4"/>
    <mergeCell ref="P4:T4"/>
    <mergeCell ref="V4:Z4"/>
    <mergeCell ref="B7:B9"/>
    <mergeCell ref="C7:I7"/>
    <mergeCell ref="J7:P7"/>
    <mergeCell ref="Q7:W7"/>
    <mergeCell ref="X7:AD7"/>
    <mergeCell ref="AE7:AF7"/>
    <mergeCell ref="AH7:AL8"/>
    <mergeCell ref="AJ16:AL16"/>
    <mergeCell ref="AJ17:AL17"/>
    <mergeCell ref="AJ18:AL18"/>
    <mergeCell ref="AJ19:AL19"/>
    <mergeCell ref="C33:AF33"/>
    <mergeCell ref="AJ9:AL9"/>
    <mergeCell ref="AJ10:AL10"/>
    <mergeCell ref="AJ11:AL11"/>
    <mergeCell ref="AJ12:AL12"/>
    <mergeCell ref="AJ13:AL13"/>
    <mergeCell ref="AJ14:AL14"/>
    <mergeCell ref="AJ15:AL15"/>
  </mergeCells>
  <conditionalFormatting sqref="F2">
    <cfRule type="notContainsBlanks" dxfId="0" priority="1">
      <formula>LEN(TRIM(F2))&gt;0</formula>
    </cfRule>
  </conditionalFormatting>
  <dataValidations>
    <dataValidation type="list" allowBlank="1" showErrorMessage="1" sqref="C34:AF35">
      <formula1>"10,9,8,7,6,5,4,3,2,1,0"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13"/>
    <col customWidth="1" min="2" max="2" width="16.38"/>
    <col customWidth="1" min="4" max="4" width="4.13"/>
    <col customWidth="1" min="5" max="5" width="16.38"/>
    <col customWidth="1" min="7" max="7" width="4.13"/>
    <col customWidth="1" min="8" max="8" width="16.38"/>
    <col customWidth="1" min="10" max="10" width="4.13"/>
    <col customWidth="1" min="11" max="11" width="16.38"/>
    <col customWidth="1" min="13" max="14" width="4.13"/>
  </cols>
  <sheetData>
    <row r="2">
      <c r="B2" s="54" t="s">
        <v>43</v>
      </c>
    </row>
    <row r="6">
      <c r="B6" s="55" t="s">
        <v>44</v>
      </c>
      <c r="C6" s="55" t="s">
        <v>45</v>
      </c>
    </row>
    <row r="7">
      <c r="B7" s="55" t="s">
        <v>46</v>
      </c>
      <c r="C7" s="56">
        <f>C24</f>
        <v>0</v>
      </c>
    </row>
    <row r="8">
      <c r="B8" s="55" t="s">
        <v>47</v>
      </c>
      <c r="C8" s="56">
        <f>F24</f>
        <v>0</v>
      </c>
    </row>
    <row r="9">
      <c r="B9" s="55" t="s">
        <v>48</v>
      </c>
      <c r="C9" s="56">
        <f>I24</f>
        <v>0</v>
      </c>
    </row>
    <row r="10">
      <c r="B10" s="55" t="s">
        <v>49</v>
      </c>
      <c r="C10" s="56">
        <f>L24</f>
        <v>0</v>
      </c>
    </row>
    <row r="11">
      <c r="B11" s="55" t="s">
        <v>50</v>
      </c>
      <c r="C11" s="56">
        <f>C29</f>
        <v>0</v>
      </c>
    </row>
    <row r="12">
      <c r="B12" s="55" t="s">
        <v>51</v>
      </c>
      <c r="C12" s="56">
        <f>F29</f>
        <v>0</v>
      </c>
    </row>
    <row r="13">
      <c r="B13" s="55" t="s">
        <v>52</v>
      </c>
      <c r="C13" s="56">
        <f>I29</f>
        <v>0</v>
      </c>
    </row>
    <row r="14">
      <c r="B14" s="55" t="s">
        <v>53</v>
      </c>
      <c r="C14" s="56">
        <f>L29</f>
        <v>0</v>
      </c>
    </row>
    <row r="15">
      <c r="B15" s="55" t="s">
        <v>54</v>
      </c>
      <c r="C15" s="56">
        <f>C34</f>
        <v>0</v>
      </c>
    </row>
    <row r="16">
      <c r="B16" s="55" t="s">
        <v>55</v>
      </c>
      <c r="C16" s="56">
        <f>F34</f>
        <v>0</v>
      </c>
    </row>
    <row r="17">
      <c r="B17" s="55" t="s">
        <v>56</v>
      </c>
      <c r="C17" s="56">
        <f>I34</f>
        <v>0</v>
      </c>
    </row>
    <row r="18">
      <c r="B18" s="55" t="s">
        <v>57</v>
      </c>
      <c r="C18" s="56">
        <f>L34</f>
        <v>0</v>
      </c>
    </row>
    <row r="21">
      <c r="B21" s="57" t="s">
        <v>8</v>
      </c>
      <c r="D21" s="58"/>
      <c r="E21" s="57" t="s">
        <v>58</v>
      </c>
      <c r="H21" s="59" t="s">
        <v>59</v>
      </c>
      <c r="K21" s="59" t="s">
        <v>60</v>
      </c>
    </row>
    <row r="22">
      <c r="B22" s="60" t="s">
        <v>61</v>
      </c>
      <c r="C22" s="61">
        <f>Jan!J4</f>
        <v>0</v>
      </c>
      <c r="D22" s="62"/>
      <c r="E22" s="60" t="s">
        <v>61</v>
      </c>
      <c r="F22" s="61">
        <f>Feb!J4</f>
        <v>0</v>
      </c>
      <c r="H22" s="60" t="s">
        <v>61</v>
      </c>
      <c r="I22" s="61">
        <f>Mar!J4</f>
        <v>0</v>
      </c>
      <c r="K22" s="60" t="s">
        <v>61</v>
      </c>
      <c r="L22" s="61">
        <f>Apr!J4</f>
        <v>0</v>
      </c>
    </row>
    <row r="23">
      <c r="B23" s="60" t="s">
        <v>38</v>
      </c>
      <c r="C23" s="61">
        <f>Jan!P4</f>
        <v>0</v>
      </c>
      <c r="D23" s="62"/>
      <c r="E23" s="60" t="s">
        <v>38</v>
      </c>
      <c r="F23" s="61">
        <f>Feb!P4</f>
        <v>0</v>
      </c>
      <c r="H23" s="60" t="s">
        <v>38</v>
      </c>
      <c r="I23" s="61">
        <f>Mar!P4</f>
        <v>0</v>
      </c>
      <c r="K23" s="60" t="s">
        <v>38</v>
      </c>
      <c r="L23" s="61">
        <f>Apr!P4</f>
        <v>0</v>
      </c>
    </row>
    <row r="24">
      <c r="B24" s="60" t="s">
        <v>11</v>
      </c>
      <c r="C24" s="63">
        <f>Jan!AB4</f>
        <v>0</v>
      </c>
      <c r="D24" s="62"/>
      <c r="E24" s="60" t="s">
        <v>11</v>
      </c>
      <c r="F24" s="63">
        <f>Feb!AB4</f>
        <v>0</v>
      </c>
      <c r="H24" s="60" t="s">
        <v>11</v>
      </c>
      <c r="I24" s="63">
        <f>Mar!AB4</f>
        <v>0</v>
      </c>
      <c r="K24" s="60" t="s">
        <v>11</v>
      </c>
      <c r="L24" s="63">
        <f>Apr!AB4</f>
        <v>0</v>
      </c>
    </row>
    <row r="25"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</row>
    <row r="26">
      <c r="B26" s="59" t="s">
        <v>62</v>
      </c>
      <c r="D26" s="58"/>
      <c r="E26" s="59" t="s">
        <v>63</v>
      </c>
      <c r="H26" s="59" t="s">
        <v>64</v>
      </c>
      <c r="K26" s="59" t="s">
        <v>65</v>
      </c>
    </row>
    <row r="27">
      <c r="B27" s="60" t="s">
        <v>61</v>
      </c>
      <c r="C27" s="61">
        <f>May!J4</f>
        <v>0</v>
      </c>
      <c r="D27" s="58"/>
      <c r="E27" s="60" t="s">
        <v>61</v>
      </c>
      <c r="F27" s="61">
        <f>Jun!J4</f>
        <v>0</v>
      </c>
      <c r="H27" s="60" t="s">
        <v>61</v>
      </c>
      <c r="I27" s="61">
        <f>Jul!J4</f>
        <v>0</v>
      </c>
      <c r="K27" s="60" t="s">
        <v>61</v>
      </c>
      <c r="L27" s="61">
        <f>Aug!J4</f>
        <v>0</v>
      </c>
    </row>
    <row r="28">
      <c r="B28" s="60" t="s">
        <v>38</v>
      </c>
      <c r="C28" s="61">
        <f>May!P4</f>
        <v>0</v>
      </c>
      <c r="D28" s="62"/>
      <c r="E28" s="60" t="s">
        <v>38</v>
      </c>
      <c r="F28" s="61">
        <f>Jun!P4</f>
        <v>0</v>
      </c>
      <c r="H28" s="60" t="s">
        <v>38</v>
      </c>
      <c r="I28" s="61">
        <f>Jul!P4</f>
        <v>0</v>
      </c>
      <c r="K28" s="60" t="s">
        <v>38</v>
      </c>
      <c r="L28" s="61">
        <f>Aug!P4</f>
        <v>0</v>
      </c>
    </row>
    <row r="29">
      <c r="B29" s="60" t="s">
        <v>11</v>
      </c>
      <c r="C29" s="63">
        <f>May!AB4</f>
        <v>0</v>
      </c>
      <c r="D29" s="62"/>
      <c r="E29" s="60" t="s">
        <v>11</v>
      </c>
      <c r="F29" s="63">
        <f>Jun!AB4</f>
        <v>0</v>
      </c>
      <c r="H29" s="60" t="s">
        <v>11</v>
      </c>
      <c r="I29" s="63">
        <f>Jul!AB4</f>
        <v>0</v>
      </c>
      <c r="K29" s="60" t="s">
        <v>11</v>
      </c>
      <c r="L29" s="63">
        <f>Aug!AB4</f>
        <v>0</v>
      </c>
    </row>
    <row r="30">
      <c r="D30" s="62"/>
      <c r="G30" s="62"/>
      <c r="J30" s="62"/>
    </row>
    <row r="31">
      <c r="B31" s="59" t="s">
        <v>66</v>
      </c>
      <c r="D31" s="58"/>
      <c r="E31" s="59" t="s">
        <v>67</v>
      </c>
      <c r="H31" s="59" t="s">
        <v>68</v>
      </c>
      <c r="K31" s="59" t="s">
        <v>69</v>
      </c>
    </row>
    <row r="32">
      <c r="B32" s="60" t="s">
        <v>61</v>
      </c>
      <c r="C32" s="61">
        <f>Sep!J4</f>
        <v>0</v>
      </c>
      <c r="D32" s="62"/>
      <c r="E32" s="60" t="s">
        <v>61</v>
      </c>
      <c r="F32" s="61">
        <f>Oct!J4</f>
        <v>0</v>
      </c>
      <c r="H32" s="60" t="s">
        <v>61</v>
      </c>
      <c r="I32" s="61">
        <f>Nov!J4</f>
        <v>0</v>
      </c>
      <c r="K32" s="60" t="s">
        <v>61</v>
      </c>
      <c r="L32" s="61">
        <f>Dec!J4</f>
        <v>0</v>
      </c>
    </row>
    <row r="33">
      <c r="B33" s="60" t="s">
        <v>38</v>
      </c>
      <c r="C33" s="61">
        <f>Sep!P4</f>
        <v>0</v>
      </c>
      <c r="D33" s="62"/>
      <c r="E33" s="60" t="s">
        <v>38</v>
      </c>
      <c r="F33" s="61">
        <f>Oct!P4</f>
        <v>0</v>
      </c>
      <c r="H33" s="60" t="s">
        <v>38</v>
      </c>
      <c r="I33" s="61">
        <f>Nov!P4</f>
        <v>0</v>
      </c>
      <c r="K33" s="60" t="s">
        <v>38</v>
      </c>
      <c r="L33" s="61">
        <f>Dec!P4</f>
        <v>0</v>
      </c>
    </row>
    <row r="34">
      <c r="B34" s="60" t="s">
        <v>11</v>
      </c>
      <c r="C34" s="63">
        <f>Sep!AB4</f>
        <v>0</v>
      </c>
      <c r="D34" s="62"/>
      <c r="E34" s="60" t="s">
        <v>11</v>
      </c>
      <c r="F34" s="63">
        <f>Oct!AB4</f>
        <v>0</v>
      </c>
      <c r="H34" s="60" t="s">
        <v>11</v>
      </c>
      <c r="I34" s="63">
        <f>Nov!AB4</f>
        <v>0</v>
      </c>
      <c r="K34" s="60" t="s">
        <v>11</v>
      </c>
      <c r="L34" s="63">
        <f>Dec!AB4</f>
        <v>0</v>
      </c>
    </row>
  </sheetData>
  <mergeCells count="13">
    <mergeCell ref="H26:I26"/>
    <mergeCell ref="K26:L26"/>
    <mergeCell ref="B31:C31"/>
    <mergeCell ref="E31:F31"/>
    <mergeCell ref="H31:I31"/>
    <mergeCell ref="K31:L31"/>
    <mergeCell ref="B2:L4"/>
    <mergeCell ref="B21:C21"/>
    <mergeCell ref="E21:F21"/>
    <mergeCell ref="H21:I21"/>
    <mergeCell ref="K21:L21"/>
    <mergeCell ref="B26:C26"/>
    <mergeCell ref="E26:F2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23.25"/>
    <col customWidth="1" min="3" max="34" width="4.13"/>
    <col customWidth="1" min="35" max="35" width="10.0"/>
    <col customWidth="1" min="36" max="36" width="8.0"/>
    <col customWidth="1" min="37" max="40" width="4.13"/>
  </cols>
  <sheetData>
    <row r="2">
      <c r="B2" s="64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6"/>
      <c r="AN2" s="9"/>
    </row>
    <row r="3">
      <c r="B3" s="10" t="s">
        <v>8</v>
      </c>
      <c r="I3" s="67"/>
      <c r="J3" s="68" t="s">
        <v>70</v>
      </c>
      <c r="O3" s="69"/>
      <c r="P3" s="68" t="s">
        <v>10</v>
      </c>
      <c r="U3" s="69"/>
      <c r="V3" s="68" t="s">
        <v>11</v>
      </c>
      <c r="AA3" s="69"/>
      <c r="AB3" s="68" t="s">
        <v>12</v>
      </c>
      <c r="AE3" s="12"/>
      <c r="AF3" s="12"/>
      <c r="AG3" s="12"/>
      <c r="AH3" s="70"/>
      <c r="AI3" s="71"/>
      <c r="AJ3" s="71"/>
      <c r="AK3" s="71"/>
      <c r="AL3" s="71"/>
      <c r="AM3" s="72"/>
      <c r="AN3" s="9"/>
    </row>
    <row r="4">
      <c r="B4" s="17"/>
      <c r="I4" s="67"/>
      <c r="J4" s="71">
        <f>COUNTA($B$10:$B$19)</f>
        <v>0</v>
      </c>
      <c r="O4" s="70"/>
      <c r="P4" s="71">
        <f>COUNTIF($C$10:$AF$19, TRUE)</f>
        <v>0</v>
      </c>
      <c r="U4" s="70"/>
      <c r="V4" s="73" t="str">
        <f>IFERROR(__xludf.DUMMYFUNCTION("SPARKLINE(AB4, {""charttype"",""bar"";""max"",1;""color1"",""#90EE90""})"),"")</f>
        <v/>
      </c>
      <c r="AA4" s="70"/>
      <c r="AB4" s="74">
        <f>(P4)/(COUNTA($C$10:$C$19)*COUNTA($C$10:$AG$10))</f>
        <v>0</v>
      </c>
      <c r="AE4" s="74"/>
      <c r="AF4" s="74"/>
      <c r="AG4" s="74"/>
      <c r="AH4" s="70"/>
      <c r="AI4" s="71"/>
      <c r="AJ4" s="71"/>
      <c r="AK4" s="71"/>
      <c r="AL4" s="71"/>
      <c r="AM4" s="72"/>
      <c r="AN4" s="9"/>
    </row>
    <row r="5">
      <c r="B5" s="75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7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8"/>
      <c r="AN5" s="9"/>
    </row>
    <row r="6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>
      <c r="B7" s="24" t="s">
        <v>13</v>
      </c>
      <c r="C7" s="25" t="s">
        <v>14</v>
      </c>
      <c r="D7" s="26"/>
      <c r="E7" s="26"/>
      <c r="F7" s="26"/>
      <c r="G7" s="26"/>
      <c r="H7" s="26"/>
      <c r="I7" s="27"/>
      <c r="J7" s="28" t="s">
        <v>15</v>
      </c>
      <c r="K7" s="26"/>
      <c r="L7" s="26"/>
      <c r="M7" s="26"/>
      <c r="N7" s="26"/>
      <c r="O7" s="26"/>
      <c r="P7" s="27"/>
      <c r="Q7" s="25" t="s">
        <v>16</v>
      </c>
      <c r="R7" s="26"/>
      <c r="S7" s="26"/>
      <c r="T7" s="26"/>
      <c r="U7" s="26"/>
      <c r="V7" s="26"/>
      <c r="W7" s="27"/>
      <c r="X7" s="28" t="s">
        <v>17</v>
      </c>
      <c r="Y7" s="26"/>
      <c r="Z7" s="26"/>
      <c r="AA7" s="26"/>
      <c r="AB7" s="26"/>
      <c r="AC7" s="26"/>
      <c r="AD7" s="27"/>
      <c r="AE7" s="29"/>
      <c r="AF7" s="27"/>
      <c r="AG7" s="79"/>
      <c r="AH7" s="9"/>
      <c r="AI7" s="30" t="s">
        <v>18</v>
      </c>
      <c r="AJ7" s="31"/>
      <c r="AK7" s="31"/>
      <c r="AL7" s="31"/>
      <c r="AM7" s="32"/>
    </row>
    <row r="8">
      <c r="B8" s="33"/>
      <c r="C8" s="34" t="s">
        <v>24</v>
      </c>
      <c r="D8" s="34" t="s">
        <v>25</v>
      </c>
      <c r="E8" s="34" t="s">
        <v>19</v>
      </c>
      <c r="F8" s="34" t="s">
        <v>20</v>
      </c>
      <c r="G8" s="34" t="s">
        <v>21</v>
      </c>
      <c r="H8" s="34" t="s">
        <v>22</v>
      </c>
      <c r="I8" s="34" t="s">
        <v>23</v>
      </c>
      <c r="J8" s="35" t="s">
        <v>24</v>
      </c>
      <c r="K8" s="35" t="s">
        <v>25</v>
      </c>
      <c r="L8" s="35" t="s">
        <v>19</v>
      </c>
      <c r="M8" s="35" t="s">
        <v>20</v>
      </c>
      <c r="N8" s="35" t="s">
        <v>21</v>
      </c>
      <c r="O8" s="35" t="s">
        <v>22</v>
      </c>
      <c r="P8" s="35" t="s">
        <v>23</v>
      </c>
      <c r="Q8" s="34" t="s">
        <v>24</v>
      </c>
      <c r="R8" s="34" t="s">
        <v>25</v>
      </c>
      <c r="S8" s="34" t="s">
        <v>19</v>
      </c>
      <c r="T8" s="34" t="s">
        <v>20</v>
      </c>
      <c r="U8" s="34" t="s">
        <v>21</v>
      </c>
      <c r="V8" s="34" t="s">
        <v>22</v>
      </c>
      <c r="W8" s="34" t="s">
        <v>23</v>
      </c>
      <c r="X8" s="35" t="s">
        <v>24</v>
      </c>
      <c r="Y8" s="35" t="s">
        <v>25</v>
      </c>
      <c r="Z8" s="35" t="s">
        <v>19</v>
      </c>
      <c r="AA8" s="35" t="s">
        <v>20</v>
      </c>
      <c r="AB8" s="35" t="s">
        <v>21</v>
      </c>
      <c r="AC8" s="35" t="s">
        <v>22</v>
      </c>
      <c r="AD8" s="35" t="s">
        <v>23</v>
      </c>
      <c r="AE8" s="80" t="s">
        <v>24</v>
      </c>
      <c r="AF8" s="80" t="s">
        <v>25</v>
      </c>
      <c r="AG8" s="34" t="s">
        <v>19</v>
      </c>
      <c r="AH8" s="9"/>
      <c r="AI8" s="36"/>
      <c r="AJ8" s="37"/>
      <c r="AK8" s="37"/>
      <c r="AL8" s="37"/>
      <c r="AM8" s="38"/>
    </row>
    <row r="9">
      <c r="B9" s="39"/>
      <c r="C9" s="34">
        <v>1.0</v>
      </c>
      <c r="D9" s="34">
        <v>2.0</v>
      </c>
      <c r="E9" s="34">
        <v>3.0</v>
      </c>
      <c r="F9" s="34">
        <v>4.0</v>
      </c>
      <c r="G9" s="34">
        <v>5.0</v>
      </c>
      <c r="H9" s="34">
        <v>6.0</v>
      </c>
      <c r="I9" s="34">
        <v>7.0</v>
      </c>
      <c r="J9" s="35">
        <v>8.0</v>
      </c>
      <c r="K9" s="35">
        <v>9.0</v>
      </c>
      <c r="L9" s="35">
        <v>10.0</v>
      </c>
      <c r="M9" s="35">
        <v>11.0</v>
      </c>
      <c r="N9" s="35">
        <v>12.0</v>
      </c>
      <c r="O9" s="35">
        <v>13.0</v>
      </c>
      <c r="P9" s="35">
        <v>14.0</v>
      </c>
      <c r="Q9" s="34">
        <v>15.0</v>
      </c>
      <c r="R9" s="34">
        <v>16.0</v>
      </c>
      <c r="S9" s="34">
        <v>17.0</v>
      </c>
      <c r="T9" s="34">
        <v>18.0</v>
      </c>
      <c r="U9" s="34">
        <v>19.0</v>
      </c>
      <c r="V9" s="34">
        <v>20.0</v>
      </c>
      <c r="W9" s="34">
        <v>21.0</v>
      </c>
      <c r="X9" s="35">
        <v>22.0</v>
      </c>
      <c r="Y9" s="35">
        <v>23.0</v>
      </c>
      <c r="Z9" s="35">
        <v>24.0</v>
      </c>
      <c r="AA9" s="35">
        <v>25.0</v>
      </c>
      <c r="AB9" s="35">
        <v>26.0</v>
      </c>
      <c r="AC9" s="35">
        <v>27.0</v>
      </c>
      <c r="AD9" s="35">
        <v>28.0</v>
      </c>
      <c r="AE9" s="34">
        <v>29.0</v>
      </c>
      <c r="AF9" s="25">
        <v>30.0</v>
      </c>
      <c r="AG9" s="81">
        <v>31.0</v>
      </c>
      <c r="AH9" s="9"/>
      <c r="AI9" s="40" t="s">
        <v>26</v>
      </c>
      <c r="AJ9" s="40" t="s">
        <v>27</v>
      </c>
      <c r="AK9" s="41" t="s">
        <v>11</v>
      </c>
      <c r="AL9" s="26"/>
      <c r="AM9" s="27"/>
    </row>
    <row r="10">
      <c r="B10" s="42"/>
      <c r="C10" s="82" t="b">
        <v>0</v>
      </c>
      <c r="D10" s="82" t="b">
        <v>0</v>
      </c>
      <c r="E10" s="82" t="b">
        <v>0</v>
      </c>
      <c r="F10" s="82" t="b">
        <v>0</v>
      </c>
      <c r="G10" s="82" t="b">
        <v>0</v>
      </c>
      <c r="H10" s="82" t="b">
        <v>0</v>
      </c>
      <c r="I10" s="82" t="b">
        <v>0</v>
      </c>
      <c r="J10" s="44" t="b">
        <v>0</v>
      </c>
      <c r="K10" s="44" t="b">
        <v>0</v>
      </c>
      <c r="L10" s="44" t="b">
        <v>0</v>
      </c>
      <c r="M10" s="44" t="b">
        <v>0</v>
      </c>
      <c r="N10" s="44" t="b">
        <v>0</v>
      </c>
      <c r="O10" s="44" t="b">
        <v>0</v>
      </c>
      <c r="P10" s="44" t="b">
        <v>0</v>
      </c>
      <c r="Q10" s="82" t="b">
        <v>0</v>
      </c>
      <c r="R10" s="82" t="b">
        <v>0</v>
      </c>
      <c r="S10" s="82" t="b">
        <v>0</v>
      </c>
      <c r="T10" s="82" t="b">
        <v>0</v>
      </c>
      <c r="U10" s="82" t="b">
        <v>0</v>
      </c>
      <c r="V10" s="82" t="b">
        <v>0</v>
      </c>
      <c r="W10" s="82" t="b">
        <v>0</v>
      </c>
      <c r="X10" s="44" t="b">
        <v>0</v>
      </c>
      <c r="Y10" s="44" t="b">
        <v>0</v>
      </c>
      <c r="Z10" s="44" t="b">
        <v>0</v>
      </c>
      <c r="AA10" s="44" t="b">
        <v>0</v>
      </c>
      <c r="AB10" s="44" t="b">
        <v>0</v>
      </c>
      <c r="AC10" s="44" t="b">
        <v>0</v>
      </c>
      <c r="AD10" s="44" t="b">
        <v>0</v>
      </c>
      <c r="AE10" s="43" t="b">
        <v>0</v>
      </c>
      <c r="AF10" s="43" t="b">
        <v>0</v>
      </c>
      <c r="AG10" s="43" t="b">
        <v>0</v>
      </c>
      <c r="AH10" s="9"/>
      <c r="AI10" s="45">
        <f t="shared" ref="AI10:AI19" si="1">31</f>
        <v>31</v>
      </c>
      <c r="AJ10" s="46">
        <f t="shared" ref="AJ10:AJ19" si="2">COUNTIF(C10:AG10, TRUE)</f>
        <v>0</v>
      </c>
      <c r="AK10" s="29" t="str">
        <f>IFERROR(__xludf.DUMMYFUNCTION("SPARKLINE(AJ10/AI10, {""charttype"",""bar"";""max"",1;""color1"",""#90EE90""})"),"")</f>
        <v/>
      </c>
      <c r="AL10" s="26"/>
      <c r="AM10" s="27"/>
      <c r="AN10" s="9"/>
    </row>
    <row r="11">
      <c r="B11" s="42"/>
      <c r="C11" s="82" t="b">
        <v>0</v>
      </c>
      <c r="D11" s="82" t="b">
        <v>0</v>
      </c>
      <c r="E11" s="82" t="b">
        <v>0</v>
      </c>
      <c r="F11" s="82" t="b">
        <v>0</v>
      </c>
      <c r="G11" s="82" t="b">
        <v>0</v>
      </c>
      <c r="H11" s="82" t="b">
        <v>0</v>
      </c>
      <c r="I11" s="82" t="b">
        <v>0</v>
      </c>
      <c r="J11" s="44" t="b">
        <v>0</v>
      </c>
      <c r="K11" s="44" t="b">
        <v>0</v>
      </c>
      <c r="L11" s="44" t="b">
        <v>0</v>
      </c>
      <c r="M11" s="44" t="b">
        <v>0</v>
      </c>
      <c r="N11" s="44" t="b">
        <v>0</v>
      </c>
      <c r="O11" s="44" t="b">
        <v>0</v>
      </c>
      <c r="P11" s="44" t="b">
        <v>0</v>
      </c>
      <c r="Q11" s="82" t="b">
        <v>0</v>
      </c>
      <c r="R11" s="82" t="b">
        <v>0</v>
      </c>
      <c r="S11" s="82" t="b">
        <v>0</v>
      </c>
      <c r="T11" s="82" t="b">
        <v>0</v>
      </c>
      <c r="U11" s="82" t="b">
        <v>0</v>
      </c>
      <c r="V11" s="82" t="b">
        <v>0</v>
      </c>
      <c r="W11" s="82" t="b">
        <v>0</v>
      </c>
      <c r="X11" s="44" t="b">
        <v>0</v>
      </c>
      <c r="Y11" s="44" t="b">
        <v>0</v>
      </c>
      <c r="Z11" s="44" t="b">
        <v>0</v>
      </c>
      <c r="AA11" s="44" t="b">
        <v>0</v>
      </c>
      <c r="AB11" s="44" t="b">
        <v>0</v>
      </c>
      <c r="AC11" s="44" t="b">
        <v>0</v>
      </c>
      <c r="AD11" s="44" t="b">
        <v>0</v>
      </c>
      <c r="AE11" s="43" t="b">
        <v>0</v>
      </c>
      <c r="AF11" s="43" t="b">
        <v>0</v>
      </c>
      <c r="AG11" s="43" t="b">
        <v>0</v>
      </c>
      <c r="AH11" s="9"/>
      <c r="AI11" s="45">
        <f t="shared" si="1"/>
        <v>31</v>
      </c>
      <c r="AJ11" s="46">
        <f t="shared" si="2"/>
        <v>0</v>
      </c>
      <c r="AK11" s="29" t="str">
        <f>IFERROR(__xludf.DUMMYFUNCTION("SPARKLINE(AJ11/AI11, {""charttype"",""bar"";""max"",1;""color1"",""#90EE90""})"),"")</f>
        <v/>
      </c>
      <c r="AL11" s="26"/>
      <c r="AM11" s="27"/>
      <c r="AN11" s="9"/>
    </row>
    <row r="12">
      <c r="B12" s="42"/>
      <c r="C12" s="82" t="b">
        <v>0</v>
      </c>
      <c r="D12" s="82" t="b">
        <v>0</v>
      </c>
      <c r="E12" s="82" t="b">
        <v>0</v>
      </c>
      <c r="F12" s="82" t="b">
        <v>0</v>
      </c>
      <c r="G12" s="82" t="b">
        <v>0</v>
      </c>
      <c r="H12" s="82" t="b">
        <v>0</v>
      </c>
      <c r="I12" s="82" t="b">
        <v>0</v>
      </c>
      <c r="J12" s="44" t="b">
        <v>0</v>
      </c>
      <c r="K12" s="44" t="b">
        <v>0</v>
      </c>
      <c r="L12" s="44" t="b">
        <v>0</v>
      </c>
      <c r="M12" s="44" t="b">
        <v>0</v>
      </c>
      <c r="N12" s="44" t="b">
        <v>0</v>
      </c>
      <c r="O12" s="44" t="b">
        <v>0</v>
      </c>
      <c r="P12" s="44" t="b">
        <v>0</v>
      </c>
      <c r="Q12" s="82" t="b">
        <v>0</v>
      </c>
      <c r="R12" s="82" t="b">
        <v>0</v>
      </c>
      <c r="S12" s="82" t="b">
        <v>0</v>
      </c>
      <c r="T12" s="82" t="b">
        <v>0</v>
      </c>
      <c r="U12" s="82" t="b">
        <v>0</v>
      </c>
      <c r="V12" s="82" t="b">
        <v>0</v>
      </c>
      <c r="W12" s="82" t="b">
        <v>0</v>
      </c>
      <c r="X12" s="44" t="b">
        <v>0</v>
      </c>
      <c r="Y12" s="44" t="b">
        <v>0</v>
      </c>
      <c r="Z12" s="44" t="b">
        <v>0</v>
      </c>
      <c r="AA12" s="44" t="b">
        <v>0</v>
      </c>
      <c r="AB12" s="44" t="b">
        <v>0</v>
      </c>
      <c r="AC12" s="44" t="b">
        <v>0</v>
      </c>
      <c r="AD12" s="44" t="b">
        <v>0</v>
      </c>
      <c r="AE12" s="43" t="b">
        <v>0</v>
      </c>
      <c r="AF12" s="43" t="b">
        <v>0</v>
      </c>
      <c r="AG12" s="43" t="b">
        <v>0</v>
      </c>
      <c r="AH12" s="9"/>
      <c r="AI12" s="45">
        <f t="shared" si="1"/>
        <v>31</v>
      </c>
      <c r="AJ12" s="46">
        <f t="shared" si="2"/>
        <v>0</v>
      </c>
      <c r="AK12" s="29" t="str">
        <f>IFERROR(__xludf.DUMMYFUNCTION("SPARKLINE(AJ12/AI12, {""charttype"",""bar"";""max"",1;""color1"",""#90EE90""})"),"")</f>
        <v/>
      </c>
      <c r="AL12" s="26"/>
      <c r="AM12" s="27"/>
      <c r="AN12" s="9"/>
    </row>
    <row r="13">
      <c r="B13" s="42"/>
      <c r="C13" s="82" t="b">
        <v>0</v>
      </c>
      <c r="D13" s="82" t="b">
        <v>0</v>
      </c>
      <c r="E13" s="82" t="b">
        <v>0</v>
      </c>
      <c r="F13" s="82" t="b">
        <v>0</v>
      </c>
      <c r="G13" s="82" t="b">
        <v>0</v>
      </c>
      <c r="H13" s="82" t="b">
        <v>0</v>
      </c>
      <c r="I13" s="82" t="b">
        <v>0</v>
      </c>
      <c r="J13" s="44" t="b">
        <v>0</v>
      </c>
      <c r="K13" s="44" t="b">
        <v>0</v>
      </c>
      <c r="L13" s="44" t="b">
        <v>0</v>
      </c>
      <c r="M13" s="44" t="b">
        <v>0</v>
      </c>
      <c r="N13" s="44" t="b">
        <v>0</v>
      </c>
      <c r="O13" s="44" t="b">
        <v>0</v>
      </c>
      <c r="P13" s="44" t="b">
        <v>0</v>
      </c>
      <c r="Q13" s="82" t="b">
        <v>0</v>
      </c>
      <c r="R13" s="82" t="b">
        <v>0</v>
      </c>
      <c r="S13" s="82" t="b">
        <v>0</v>
      </c>
      <c r="T13" s="82" t="b">
        <v>0</v>
      </c>
      <c r="U13" s="82" t="b">
        <v>0</v>
      </c>
      <c r="V13" s="82" t="b">
        <v>0</v>
      </c>
      <c r="W13" s="82" t="b">
        <v>0</v>
      </c>
      <c r="X13" s="44" t="b">
        <v>0</v>
      </c>
      <c r="Y13" s="44" t="b">
        <v>0</v>
      </c>
      <c r="Z13" s="44" t="b">
        <v>0</v>
      </c>
      <c r="AA13" s="44" t="b">
        <v>0</v>
      </c>
      <c r="AB13" s="44" t="b">
        <v>0</v>
      </c>
      <c r="AC13" s="44" t="b">
        <v>0</v>
      </c>
      <c r="AD13" s="44" t="b">
        <v>0</v>
      </c>
      <c r="AE13" s="43" t="b">
        <v>0</v>
      </c>
      <c r="AF13" s="43" t="b">
        <v>0</v>
      </c>
      <c r="AG13" s="43" t="b">
        <v>0</v>
      </c>
      <c r="AH13" s="9"/>
      <c r="AI13" s="45">
        <f t="shared" si="1"/>
        <v>31</v>
      </c>
      <c r="AJ13" s="46">
        <f t="shared" si="2"/>
        <v>0</v>
      </c>
      <c r="AK13" s="29" t="str">
        <f>IFERROR(__xludf.DUMMYFUNCTION("SPARKLINE(AJ13/AI13, {""charttype"",""bar"";""max"",1;""color1"",""#90EE90""})"),"")</f>
        <v/>
      </c>
      <c r="AL13" s="26"/>
      <c r="AM13" s="27"/>
      <c r="AN13" s="9"/>
    </row>
    <row r="14">
      <c r="B14" s="42"/>
      <c r="C14" s="82" t="b">
        <v>0</v>
      </c>
      <c r="D14" s="82" t="b">
        <v>0</v>
      </c>
      <c r="E14" s="82" t="b">
        <v>0</v>
      </c>
      <c r="F14" s="82" t="b">
        <v>0</v>
      </c>
      <c r="G14" s="82" t="b">
        <v>0</v>
      </c>
      <c r="H14" s="82" t="b">
        <v>0</v>
      </c>
      <c r="I14" s="82" t="b">
        <v>0</v>
      </c>
      <c r="J14" s="44" t="b">
        <v>0</v>
      </c>
      <c r="K14" s="44" t="b">
        <v>0</v>
      </c>
      <c r="L14" s="44" t="b">
        <v>0</v>
      </c>
      <c r="M14" s="44" t="b">
        <v>0</v>
      </c>
      <c r="N14" s="44" t="b">
        <v>0</v>
      </c>
      <c r="O14" s="44" t="b">
        <v>0</v>
      </c>
      <c r="P14" s="44" t="b">
        <v>0</v>
      </c>
      <c r="Q14" s="82" t="b">
        <v>0</v>
      </c>
      <c r="R14" s="82" t="b">
        <v>0</v>
      </c>
      <c r="S14" s="82" t="b">
        <v>0</v>
      </c>
      <c r="T14" s="82" t="b">
        <v>0</v>
      </c>
      <c r="U14" s="82" t="b">
        <v>0</v>
      </c>
      <c r="V14" s="82" t="b">
        <v>0</v>
      </c>
      <c r="W14" s="82" t="b">
        <v>0</v>
      </c>
      <c r="X14" s="44" t="b">
        <v>0</v>
      </c>
      <c r="Y14" s="44" t="b">
        <v>0</v>
      </c>
      <c r="Z14" s="44" t="b">
        <v>0</v>
      </c>
      <c r="AA14" s="44" t="b">
        <v>0</v>
      </c>
      <c r="AB14" s="44" t="b">
        <v>0</v>
      </c>
      <c r="AC14" s="44" t="b">
        <v>0</v>
      </c>
      <c r="AD14" s="44" t="b">
        <v>0</v>
      </c>
      <c r="AE14" s="43" t="b">
        <v>0</v>
      </c>
      <c r="AF14" s="43" t="b">
        <v>0</v>
      </c>
      <c r="AG14" s="43" t="b">
        <v>0</v>
      </c>
      <c r="AH14" s="9"/>
      <c r="AI14" s="45">
        <f t="shared" si="1"/>
        <v>31</v>
      </c>
      <c r="AJ14" s="46">
        <f t="shared" si="2"/>
        <v>0</v>
      </c>
      <c r="AK14" s="29" t="str">
        <f>IFERROR(__xludf.DUMMYFUNCTION("SPARKLINE(AJ14/AI14, {""charttype"",""bar"";""max"",1;""color1"",""#90EE90""})"),"")</f>
        <v/>
      </c>
      <c r="AL14" s="26"/>
      <c r="AM14" s="27"/>
      <c r="AN14" s="9"/>
    </row>
    <row r="15">
      <c r="B15" s="42"/>
      <c r="C15" s="82" t="b">
        <v>0</v>
      </c>
      <c r="D15" s="82" t="b">
        <v>0</v>
      </c>
      <c r="E15" s="82" t="b">
        <v>0</v>
      </c>
      <c r="F15" s="82" t="b">
        <v>0</v>
      </c>
      <c r="G15" s="82" t="b">
        <v>0</v>
      </c>
      <c r="H15" s="82" t="b">
        <v>0</v>
      </c>
      <c r="I15" s="82" t="b">
        <v>0</v>
      </c>
      <c r="J15" s="44" t="b">
        <v>0</v>
      </c>
      <c r="K15" s="44" t="b">
        <v>0</v>
      </c>
      <c r="L15" s="44" t="b">
        <v>0</v>
      </c>
      <c r="M15" s="44" t="b">
        <v>0</v>
      </c>
      <c r="N15" s="44" t="b">
        <v>0</v>
      </c>
      <c r="O15" s="44" t="b">
        <v>0</v>
      </c>
      <c r="P15" s="44" t="b">
        <v>0</v>
      </c>
      <c r="Q15" s="82" t="b">
        <v>0</v>
      </c>
      <c r="R15" s="82" t="b">
        <v>0</v>
      </c>
      <c r="S15" s="82" t="b">
        <v>0</v>
      </c>
      <c r="T15" s="82" t="b">
        <v>0</v>
      </c>
      <c r="U15" s="82" t="b">
        <v>0</v>
      </c>
      <c r="V15" s="82" t="b">
        <v>0</v>
      </c>
      <c r="W15" s="82" t="b">
        <v>0</v>
      </c>
      <c r="X15" s="44" t="b">
        <v>0</v>
      </c>
      <c r="Y15" s="44" t="b">
        <v>0</v>
      </c>
      <c r="Z15" s="44" t="b">
        <v>0</v>
      </c>
      <c r="AA15" s="44" t="b">
        <v>0</v>
      </c>
      <c r="AB15" s="44" t="b">
        <v>0</v>
      </c>
      <c r="AC15" s="44" t="b">
        <v>0</v>
      </c>
      <c r="AD15" s="44" t="b">
        <v>0</v>
      </c>
      <c r="AE15" s="43" t="b">
        <v>0</v>
      </c>
      <c r="AF15" s="43" t="b">
        <v>0</v>
      </c>
      <c r="AG15" s="43" t="b">
        <v>0</v>
      </c>
      <c r="AH15" s="9"/>
      <c r="AI15" s="45">
        <f t="shared" si="1"/>
        <v>31</v>
      </c>
      <c r="AJ15" s="46">
        <f t="shared" si="2"/>
        <v>0</v>
      </c>
      <c r="AK15" s="29" t="str">
        <f>IFERROR(__xludf.DUMMYFUNCTION("SPARKLINE(AJ15/AI15, {""charttype"",""bar"";""max"",1;""color1"",""#90EE90""})"),"")</f>
        <v/>
      </c>
      <c r="AL15" s="26"/>
      <c r="AM15" s="27"/>
      <c r="AN15" s="9"/>
    </row>
    <row r="16">
      <c r="B16" s="42"/>
      <c r="C16" s="82" t="b">
        <v>0</v>
      </c>
      <c r="D16" s="82" t="b">
        <v>0</v>
      </c>
      <c r="E16" s="82" t="b">
        <v>0</v>
      </c>
      <c r="F16" s="82" t="b">
        <v>0</v>
      </c>
      <c r="G16" s="82" t="b">
        <v>0</v>
      </c>
      <c r="H16" s="82" t="b">
        <v>0</v>
      </c>
      <c r="I16" s="82" t="b">
        <v>0</v>
      </c>
      <c r="J16" s="44" t="b">
        <v>0</v>
      </c>
      <c r="K16" s="44" t="b">
        <v>0</v>
      </c>
      <c r="L16" s="44" t="b">
        <v>0</v>
      </c>
      <c r="M16" s="44" t="b">
        <v>0</v>
      </c>
      <c r="N16" s="44" t="b">
        <v>0</v>
      </c>
      <c r="O16" s="44" t="b">
        <v>0</v>
      </c>
      <c r="P16" s="44" t="b">
        <v>0</v>
      </c>
      <c r="Q16" s="82" t="b">
        <v>0</v>
      </c>
      <c r="R16" s="82" t="b">
        <v>0</v>
      </c>
      <c r="S16" s="82" t="b">
        <v>0</v>
      </c>
      <c r="T16" s="82" t="b">
        <v>0</v>
      </c>
      <c r="U16" s="82" t="b">
        <v>0</v>
      </c>
      <c r="V16" s="82" t="b">
        <v>0</v>
      </c>
      <c r="W16" s="82" t="b">
        <v>0</v>
      </c>
      <c r="X16" s="44" t="b">
        <v>0</v>
      </c>
      <c r="Y16" s="44" t="b">
        <v>0</v>
      </c>
      <c r="Z16" s="44" t="b">
        <v>0</v>
      </c>
      <c r="AA16" s="44" t="b">
        <v>0</v>
      </c>
      <c r="AB16" s="44" t="b">
        <v>0</v>
      </c>
      <c r="AC16" s="44" t="b">
        <v>0</v>
      </c>
      <c r="AD16" s="44" t="b">
        <v>0</v>
      </c>
      <c r="AE16" s="43" t="b">
        <v>0</v>
      </c>
      <c r="AF16" s="43" t="b">
        <v>0</v>
      </c>
      <c r="AG16" s="43" t="b">
        <v>0</v>
      </c>
      <c r="AH16" s="9"/>
      <c r="AI16" s="45">
        <f t="shared" si="1"/>
        <v>31</v>
      </c>
      <c r="AJ16" s="46">
        <f t="shared" si="2"/>
        <v>0</v>
      </c>
      <c r="AK16" s="29" t="str">
        <f>IFERROR(__xludf.DUMMYFUNCTION("SPARKLINE(AJ16/AI16, {""charttype"",""bar"";""max"",1;""color1"",""#90EE90""})"),"")</f>
        <v/>
      </c>
      <c r="AL16" s="26"/>
      <c r="AM16" s="27"/>
      <c r="AN16" s="9"/>
    </row>
    <row r="17">
      <c r="B17" s="42"/>
      <c r="C17" s="82" t="b">
        <v>0</v>
      </c>
      <c r="D17" s="82" t="b">
        <v>0</v>
      </c>
      <c r="E17" s="82" t="b">
        <v>0</v>
      </c>
      <c r="F17" s="82" t="b">
        <v>0</v>
      </c>
      <c r="G17" s="82" t="b">
        <v>0</v>
      </c>
      <c r="H17" s="82" t="b">
        <v>0</v>
      </c>
      <c r="I17" s="82" t="b">
        <v>0</v>
      </c>
      <c r="J17" s="44" t="b">
        <v>0</v>
      </c>
      <c r="K17" s="44" t="b">
        <v>0</v>
      </c>
      <c r="L17" s="44" t="b">
        <v>0</v>
      </c>
      <c r="M17" s="44" t="b">
        <v>0</v>
      </c>
      <c r="N17" s="44" t="b">
        <v>0</v>
      </c>
      <c r="O17" s="44" t="b">
        <v>0</v>
      </c>
      <c r="P17" s="44" t="b">
        <v>0</v>
      </c>
      <c r="Q17" s="82" t="b">
        <v>0</v>
      </c>
      <c r="R17" s="82" t="b">
        <v>0</v>
      </c>
      <c r="S17" s="82" t="b">
        <v>0</v>
      </c>
      <c r="T17" s="82" t="b">
        <v>0</v>
      </c>
      <c r="U17" s="82" t="b">
        <v>0</v>
      </c>
      <c r="V17" s="82" t="b">
        <v>0</v>
      </c>
      <c r="W17" s="82" t="b">
        <v>0</v>
      </c>
      <c r="X17" s="44" t="b">
        <v>0</v>
      </c>
      <c r="Y17" s="44" t="b">
        <v>0</v>
      </c>
      <c r="Z17" s="44" t="b">
        <v>0</v>
      </c>
      <c r="AA17" s="44" t="b">
        <v>0</v>
      </c>
      <c r="AB17" s="44" t="b">
        <v>0</v>
      </c>
      <c r="AC17" s="44" t="b">
        <v>0</v>
      </c>
      <c r="AD17" s="44" t="b">
        <v>0</v>
      </c>
      <c r="AE17" s="43" t="b">
        <v>0</v>
      </c>
      <c r="AF17" s="43" t="b">
        <v>0</v>
      </c>
      <c r="AG17" s="43" t="b">
        <v>0</v>
      </c>
      <c r="AH17" s="9"/>
      <c r="AI17" s="45">
        <f t="shared" si="1"/>
        <v>31</v>
      </c>
      <c r="AJ17" s="46">
        <f t="shared" si="2"/>
        <v>0</v>
      </c>
      <c r="AK17" s="29" t="str">
        <f>IFERROR(__xludf.DUMMYFUNCTION("SPARKLINE(AJ17/AI17, {""charttype"",""bar"";""max"",1;""color1"",""#90EE90""})"),"")</f>
        <v/>
      </c>
      <c r="AL17" s="26"/>
      <c r="AM17" s="27"/>
      <c r="AN17" s="9"/>
    </row>
    <row r="18">
      <c r="B18" s="42"/>
      <c r="C18" s="82" t="b">
        <v>0</v>
      </c>
      <c r="D18" s="82" t="b">
        <v>0</v>
      </c>
      <c r="E18" s="82" t="b">
        <v>0</v>
      </c>
      <c r="F18" s="82" t="b">
        <v>0</v>
      </c>
      <c r="G18" s="82" t="b">
        <v>0</v>
      </c>
      <c r="H18" s="82" t="b">
        <v>0</v>
      </c>
      <c r="I18" s="82" t="b">
        <v>0</v>
      </c>
      <c r="J18" s="44" t="b">
        <v>0</v>
      </c>
      <c r="K18" s="44" t="b">
        <v>0</v>
      </c>
      <c r="L18" s="44" t="b">
        <v>0</v>
      </c>
      <c r="M18" s="44" t="b">
        <v>0</v>
      </c>
      <c r="N18" s="44" t="b">
        <v>0</v>
      </c>
      <c r="O18" s="44" t="b">
        <v>0</v>
      </c>
      <c r="P18" s="44" t="b">
        <v>0</v>
      </c>
      <c r="Q18" s="82" t="b">
        <v>0</v>
      </c>
      <c r="R18" s="82" t="b">
        <v>0</v>
      </c>
      <c r="S18" s="82" t="b">
        <v>0</v>
      </c>
      <c r="T18" s="82" t="b">
        <v>0</v>
      </c>
      <c r="U18" s="82" t="b">
        <v>0</v>
      </c>
      <c r="V18" s="82" t="b">
        <v>0</v>
      </c>
      <c r="W18" s="82" t="b">
        <v>0</v>
      </c>
      <c r="X18" s="44" t="b">
        <v>0</v>
      </c>
      <c r="Y18" s="44" t="b">
        <v>0</v>
      </c>
      <c r="Z18" s="44" t="b">
        <v>0</v>
      </c>
      <c r="AA18" s="44" t="b">
        <v>0</v>
      </c>
      <c r="AB18" s="44" t="b">
        <v>0</v>
      </c>
      <c r="AC18" s="44" t="b">
        <v>0</v>
      </c>
      <c r="AD18" s="44" t="b">
        <v>0</v>
      </c>
      <c r="AE18" s="43" t="b">
        <v>0</v>
      </c>
      <c r="AF18" s="43" t="b">
        <v>0</v>
      </c>
      <c r="AG18" s="43" t="b">
        <v>0</v>
      </c>
      <c r="AH18" s="9"/>
      <c r="AI18" s="45">
        <f t="shared" si="1"/>
        <v>31</v>
      </c>
      <c r="AJ18" s="46">
        <f t="shared" si="2"/>
        <v>0</v>
      </c>
      <c r="AK18" s="29" t="str">
        <f>IFERROR(__xludf.DUMMYFUNCTION("SPARKLINE(AJ18/AI18, {""charttype"",""bar"";""max"",1;""color1"",""#90EE90""})"),"")</f>
        <v/>
      </c>
      <c r="AL18" s="26"/>
      <c r="AM18" s="27"/>
      <c r="AN18" s="9"/>
    </row>
    <row r="19">
      <c r="B19" s="42"/>
      <c r="C19" s="82" t="b">
        <v>0</v>
      </c>
      <c r="D19" s="82" t="b">
        <v>0</v>
      </c>
      <c r="E19" s="82" t="b">
        <v>0</v>
      </c>
      <c r="F19" s="82" t="b">
        <v>0</v>
      </c>
      <c r="G19" s="82" t="b">
        <v>0</v>
      </c>
      <c r="H19" s="82" t="b">
        <v>0</v>
      </c>
      <c r="I19" s="82" t="b">
        <v>0</v>
      </c>
      <c r="J19" s="44" t="b">
        <v>0</v>
      </c>
      <c r="K19" s="44" t="b">
        <v>0</v>
      </c>
      <c r="L19" s="44" t="b">
        <v>0</v>
      </c>
      <c r="M19" s="44" t="b">
        <v>0</v>
      </c>
      <c r="N19" s="44" t="b">
        <v>0</v>
      </c>
      <c r="O19" s="44" t="b">
        <v>0</v>
      </c>
      <c r="P19" s="44" t="b">
        <v>0</v>
      </c>
      <c r="Q19" s="82" t="b">
        <v>0</v>
      </c>
      <c r="R19" s="82" t="b">
        <v>0</v>
      </c>
      <c r="S19" s="82" t="b">
        <v>0</v>
      </c>
      <c r="T19" s="82" t="b">
        <v>0</v>
      </c>
      <c r="U19" s="82" t="b">
        <v>0</v>
      </c>
      <c r="V19" s="82" t="b">
        <v>0</v>
      </c>
      <c r="W19" s="82" t="b">
        <v>0</v>
      </c>
      <c r="X19" s="44" t="b">
        <v>0</v>
      </c>
      <c r="Y19" s="44" t="b">
        <v>0</v>
      </c>
      <c r="Z19" s="44" t="b">
        <v>0</v>
      </c>
      <c r="AA19" s="44" t="b">
        <v>0</v>
      </c>
      <c r="AB19" s="44" t="b">
        <v>0</v>
      </c>
      <c r="AC19" s="44" t="b">
        <v>0</v>
      </c>
      <c r="AD19" s="44" t="b">
        <v>0</v>
      </c>
      <c r="AE19" s="43" t="b">
        <v>0</v>
      </c>
      <c r="AF19" s="43" t="b">
        <v>0</v>
      </c>
      <c r="AG19" s="43" t="b">
        <v>0</v>
      </c>
      <c r="AH19" s="9"/>
      <c r="AI19" s="45">
        <f t="shared" si="1"/>
        <v>31</v>
      </c>
      <c r="AJ19" s="46">
        <f t="shared" si="2"/>
        <v>0</v>
      </c>
      <c r="AK19" s="29" t="str">
        <f>IFERROR(__xludf.DUMMYFUNCTION("SPARKLINE(AJ19/AI19, {""charttype"",""bar"";""max"",1;""color1"",""#90EE90""})"),"")</f>
        <v/>
      </c>
      <c r="AL19" s="26"/>
      <c r="AM19" s="27"/>
      <c r="AN19" s="9"/>
    </row>
    <row r="20">
      <c r="B20" s="47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</row>
    <row r="21">
      <c r="B21" s="40" t="s">
        <v>11</v>
      </c>
      <c r="C21" s="49">
        <f t="shared" ref="C21:AG21" si="3">COUNTIF(C10:C19, TRUE)/COUNTA(C10:C19)</f>
        <v>0</v>
      </c>
      <c r="D21" s="49">
        <f t="shared" si="3"/>
        <v>0</v>
      </c>
      <c r="E21" s="49">
        <f t="shared" si="3"/>
        <v>0</v>
      </c>
      <c r="F21" s="49">
        <f t="shared" si="3"/>
        <v>0</v>
      </c>
      <c r="G21" s="49">
        <f t="shared" si="3"/>
        <v>0</v>
      </c>
      <c r="H21" s="49">
        <f t="shared" si="3"/>
        <v>0</v>
      </c>
      <c r="I21" s="49">
        <f t="shared" si="3"/>
        <v>0</v>
      </c>
      <c r="J21" s="49">
        <f t="shared" si="3"/>
        <v>0</v>
      </c>
      <c r="K21" s="49">
        <f t="shared" si="3"/>
        <v>0</v>
      </c>
      <c r="L21" s="49">
        <f t="shared" si="3"/>
        <v>0</v>
      </c>
      <c r="M21" s="49">
        <f t="shared" si="3"/>
        <v>0</v>
      </c>
      <c r="N21" s="49">
        <f t="shared" si="3"/>
        <v>0</v>
      </c>
      <c r="O21" s="49">
        <f t="shared" si="3"/>
        <v>0</v>
      </c>
      <c r="P21" s="49">
        <f t="shared" si="3"/>
        <v>0</v>
      </c>
      <c r="Q21" s="49">
        <f t="shared" si="3"/>
        <v>0</v>
      </c>
      <c r="R21" s="49">
        <f t="shared" si="3"/>
        <v>0</v>
      </c>
      <c r="S21" s="49">
        <f t="shared" si="3"/>
        <v>0</v>
      </c>
      <c r="T21" s="49">
        <f t="shared" si="3"/>
        <v>0</v>
      </c>
      <c r="U21" s="49">
        <f t="shared" si="3"/>
        <v>0</v>
      </c>
      <c r="V21" s="49">
        <f t="shared" si="3"/>
        <v>0</v>
      </c>
      <c r="W21" s="49">
        <f t="shared" si="3"/>
        <v>0</v>
      </c>
      <c r="X21" s="49">
        <f t="shared" si="3"/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B21" s="49">
        <f t="shared" si="3"/>
        <v>0</v>
      </c>
      <c r="AC21" s="49">
        <f t="shared" si="3"/>
        <v>0</v>
      </c>
      <c r="AD21" s="49">
        <f t="shared" si="3"/>
        <v>0</v>
      </c>
      <c r="AE21" s="49">
        <f t="shared" si="3"/>
        <v>0</v>
      </c>
      <c r="AF21" s="49">
        <f t="shared" si="3"/>
        <v>0</v>
      </c>
      <c r="AG21" s="49">
        <f t="shared" si="3"/>
        <v>0</v>
      </c>
    </row>
    <row r="22">
      <c r="B22" s="40" t="s">
        <v>38</v>
      </c>
      <c r="C22" s="46">
        <f t="shared" ref="C22:AG22" si="4">COUNTIF(C10:C19, TRUE)</f>
        <v>0</v>
      </c>
      <c r="D22" s="46">
        <f t="shared" si="4"/>
        <v>0</v>
      </c>
      <c r="E22" s="46">
        <f t="shared" si="4"/>
        <v>0</v>
      </c>
      <c r="F22" s="46">
        <f t="shared" si="4"/>
        <v>0</v>
      </c>
      <c r="G22" s="46">
        <f t="shared" si="4"/>
        <v>0</v>
      </c>
      <c r="H22" s="46">
        <f t="shared" si="4"/>
        <v>0</v>
      </c>
      <c r="I22" s="46">
        <f t="shared" si="4"/>
        <v>0</v>
      </c>
      <c r="J22" s="46">
        <f t="shared" si="4"/>
        <v>0</v>
      </c>
      <c r="K22" s="46">
        <f t="shared" si="4"/>
        <v>0</v>
      </c>
      <c r="L22" s="46">
        <f t="shared" si="4"/>
        <v>0</v>
      </c>
      <c r="M22" s="46">
        <f t="shared" si="4"/>
        <v>0</v>
      </c>
      <c r="N22" s="46">
        <f t="shared" si="4"/>
        <v>0</v>
      </c>
      <c r="O22" s="46">
        <f t="shared" si="4"/>
        <v>0</v>
      </c>
      <c r="P22" s="46">
        <f t="shared" si="4"/>
        <v>0</v>
      </c>
      <c r="Q22" s="46">
        <f t="shared" si="4"/>
        <v>0</v>
      </c>
      <c r="R22" s="46">
        <f t="shared" si="4"/>
        <v>0</v>
      </c>
      <c r="S22" s="46">
        <f t="shared" si="4"/>
        <v>0</v>
      </c>
      <c r="T22" s="46">
        <f t="shared" si="4"/>
        <v>0</v>
      </c>
      <c r="U22" s="46">
        <f t="shared" si="4"/>
        <v>0</v>
      </c>
      <c r="V22" s="46">
        <f t="shared" si="4"/>
        <v>0</v>
      </c>
      <c r="W22" s="46">
        <f t="shared" si="4"/>
        <v>0</v>
      </c>
      <c r="X22" s="46">
        <f t="shared" si="4"/>
        <v>0</v>
      </c>
      <c r="Y22" s="46">
        <f t="shared" si="4"/>
        <v>0</v>
      </c>
      <c r="Z22" s="46">
        <f t="shared" si="4"/>
        <v>0</v>
      </c>
      <c r="AA22" s="46">
        <f t="shared" si="4"/>
        <v>0</v>
      </c>
      <c r="AB22" s="46">
        <f t="shared" si="4"/>
        <v>0</v>
      </c>
      <c r="AC22" s="46">
        <f t="shared" si="4"/>
        <v>0</v>
      </c>
      <c r="AD22" s="46">
        <f t="shared" si="4"/>
        <v>0</v>
      </c>
      <c r="AE22" s="46">
        <f t="shared" si="4"/>
        <v>0</v>
      </c>
      <c r="AF22" s="46">
        <f t="shared" si="4"/>
        <v>0</v>
      </c>
      <c r="AG22" s="46">
        <f t="shared" si="4"/>
        <v>0</v>
      </c>
    </row>
    <row r="23">
      <c r="B23" s="40" t="s">
        <v>39</v>
      </c>
      <c r="C23" s="46">
        <f t="shared" ref="C23:AG23" si="5">COUNTIF(C10:C19, FALSE)</f>
        <v>10</v>
      </c>
      <c r="D23" s="46">
        <f t="shared" si="5"/>
        <v>10</v>
      </c>
      <c r="E23" s="46">
        <f t="shared" si="5"/>
        <v>10</v>
      </c>
      <c r="F23" s="46">
        <f t="shared" si="5"/>
        <v>10</v>
      </c>
      <c r="G23" s="46">
        <f t="shared" si="5"/>
        <v>10</v>
      </c>
      <c r="H23" s="46">
        <f t="shared" si="5"/>
        <v>10</v>
      </c>
      <c r="I23" s="46">
        <f t="shared" si="5"/>
        <v>10</v>
      </c>
      <c r="J23" s="46">
        <f t="shared" si="5"/>
        <v>10</v>
      </c>
      <c r="K23" s="46">
        <f t="shared" si="5"/>
        <v>10</v>
      </c>
      <c r="L23" s="46">
        <f t="shared" si="5"/>
        <v>10</v>
      </c>
      <c r="M23" s="46">
        <f t="shared" si="5"/>
        <v>10</v>
      </c>
      <c r="N23" s="46">
        <f t="shared" si="5"/>
        <v>10</v>
      </c>
      <c r="O23" s="46">
        <f t="shared" si="5"/>
        <v>10</v>
      </c>
      <c r="P23" s="46">
        <f t="shared" si="5"/>
        <v>10</v>
      </c>
      <c r="Q23" s="46">
        <f t="shared" si="5"/>
        <v>10</v>
      </c>
      <c r="R23" s="46">
        <f t="shared" si="5"/>
        <v>10</v>
      </c>
      <c r="S23" s="46">
        <f t="shared" si="5"/>
        <v>10</v>
      </c>
      <c r="T23" s="46">
        <f t="shared" si="5"/>
        <v>10</v>
      </c>
      <c r="U23" s="46">
        <f t="shared" si="5"/>
        <v>10</v>
      </c>
      <c r="V23" s="46">
        <f t="shared" si="5"/>
        <v>10</v>
      </c>
      <c r="W23" s="46">
        <f t="shared" si="5"/>
        <v>10</v>
      </c>
      <c r="X23" s="46">
        <f t="shared" si="5"/>
        <v>10</v>
      </c>
      <c r="Y23" s="46">
        <f t="shared" si="5"/>
        <v>10</v>
      </c>
      <c r="Z23" s="46">
        <f t="shared" si="5"/>
        <v>10</v>
      </c>
      <c r="AA23" s="46">
        <f t="shared" si="5"/>
        <v>10</v>
      </c>
      <c r="AB23" s="46">
        <f t="shared" si="5"/>
        <v>10</v>
      </c>
      <c r="AC23" s="46">
        <f t="shared" si="5"/>
        <v>10</v>
      </c>
      <c r="AD23" s="46">
        <f t="shared" si="5"/>
        <v>10</v>
      </c>
      <c r="AE23" s="46">
        <f t="shared" si="5"/>
        <v>10</v>
      </c>
      <c r="AF23" s="46">
        <f t="shared" si="5"/>
        <v>10</v>
      </c>
      <c r="AG23" s="46">
        <f t="shared" si="5"/>
        <v>10</v>
      </c>
    </row>
    <row r="33">
      <c r="B33" s="50"/>
      <c r="C33" s="41" t="s">
        <v>40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</row>
    <row r="34">
      <c r="B34" s="40" t="s">
        <v>41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1"/>
    </row>
    <row r="35">
      <c r="B35" s="40" t="s">
        <v>42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1"/>
    </row>
    <row r="36">
      <c r="C36" s="53">
        <f t="shared" ref="C36:AG36" si="6">(C35+C34)/20</f>
        <v>0</v>
      </c>
      <c r="D36" s="53">
        <f t="shared" si="6"/>
        <v>0</v>
      </c>
      <c r="E36" s="53">
        <f t="shared" si="6"/>
        <v>0</v>
      </c>
      <c r="F36" s="53">
        <f t="shared" si="6"/>
        <v>0</v>
      </c>
      <c r="G36" s="53">
        <f t="shared" si="6"/>
        <v>0</v>
      </c>
      <c r="H36" s="53">
        <f t="shared" si="6"/>
        <v>0</v>
      </c>
      <c r="I36" s="53">
        <f t="shared" si="6"/>
        <v>0</v>
      </c>
      <c r="J36" s="53">
        <f t="shared" si="6"/>
        <v>0</v>
      </c>
      <c r="K36" s="53">
        <f t="shared" si="6"/>
        <v>0</v>
      </c>
      <c r="L36" s="53">
        <f t="shared" si="6"/>
        <v>0</v>
      </c>
      <c r="M36" s="53">
        <f t="shared" si="6"/>
        <v>0</v>
      </c>
      <c r="N36" s="53">
        <f t="shared" si="6"/>
        <v>0</v>
      </c>
      <c r="O36" s="53">
        <f t="shared" si="6"/>
        <v>0</v>
      </c>
      <c r="P36" s="53">
        <f t="shared" si="6"/>
        <v>0</v>
      </c>
      <c r="Q36" s="53">
        <f t="shared" si="6"/>
        <v>0</v>
      </c>
      <c r="R36" s="53">
        <f t="shared" si="6"/>
        <v>0</v>
      </c>
      <c r="S36" s="53">
        <f t="shared" si="6"/>
        <v>0</v>
      </c>
      <c r="T36" s="53">
        <f t="shared" si="6"/>
        <v>0</v>
      </c>
      <c r="U36" s="53">
        <f t="shared" si="6"/>
        <v>0</v>
      </c>
      <c r="V36" s="53">
        <f t="shared" si="6"/>
        <v>0</v>
      </c>
      <c r="W36" s="53">
        <f t="shared" si="6"/>
        <v>0</v>
      </c>
      <c r="X36" s="53">
        <f t="shared" si="6"/>
        <v>0</v>
      </c>
      <c r="Y36" s="53">
        <f t="shared" si="6"/>
        <v>0</v>
      </c>
      <c r="Z36" s="53">
        <f t="shared" si="6"/>
        <v>0</v>
      </c>
      <c r="AA36" s="53">
        <f t="shared" si="6"/>
        <v>0</v>
      </c>
      <c r="AB36" s="53">
        <f t="shared" si="6"/>
        <v>0</v>
      </c>
      <c r="AC36" s="53">
        <f t="shared" si="6"/>
        <v>0</v>
      </c>
      <c r="AD36" s="53">
        <f t="shared" si="6"/>
        <v>0</v>
      </c>
      <c r="AE36" s="53">
        <f t="shared" si="6"/>
        <v>0</v>
      </c>
      <c r="AF36" s="53">
        <f t="shared" si="6"/>
        <v>0</v>
      </c>
      <c r="AG36" s="53">
        <f t="shared" si="6"/>
        <v>0</v>
      </c>
    </row>
  </sheetData>
  <mergeCells count="28">
    <mergeCell ref="AB3:AD3"/>
    <mergeCell ref="AB4:AD4"/>
    <mergeCell ref="B3:H4"/>
    <mergeCell ref="J3:N3"/>
    <mergeCell ref="P3:T3"/>
    <mergeCell ref="V3:Z3"/>
    <mergeCell ref="J4:N4"/>
    <mergeCell ref="P4:T4"/>
    <mergeCell ref="V4:Z4"/>
    <mergeCell ref="B7:B9"/>
    <mergeCell ref="C7:I7"/>
    <mergeCell ref="J7:P7"/>
    <mergeCell ref="Q7:W7"/>
    <mergeCell ref="X7:AD7"/>
    <mergeCell ref="AE7:AF7"/>
    <mergeCell ref="AI7:AM8"/>
    <mergeCell ref="AK16:AM16"/>
    <mergeCell ref="AK17:AM17"/>
    <mergeCell ref="AK18:AM18"/>
    <mergeCell ref="AK19:AM19"/>
    <mergeCell ref="C33:AG33"/>
    <mergeCell ref="AK9:AM9"/>
    <mergeCell ref="AK10:AM10"/>
    <mergeCell ref="AK11:AM11"/>
    <mergeCell ref="AK12:AM12"/>
    <mergeCell ref="AK13:AM13"/>
    <mergeCell ref="AK14:AM14"/>
    <mergeCell ref="AK15:AM15"/>
  </mergeCells>
  <dataValidations>
    <dataValidation type="list" allowBlank="1" showErrorMessage="1" sqref="C34:AG35">
      <formula1>"10,9,8,7,6,5,4,3,2,1,0"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23.25"/>
    <col customWidth="1" min="3" max="31" width="4.13"/>
    <col customWidth="1" min="32" max="32" width="10.0"/>
    <col customWidth="1" min="33" max="33" width="8.0"/>
    <col customWidth="1" min="34" max="35" width="4.5"/>
    <col customWidth="1" min="36" max="39" width="4.13"/>
  </cols>
  <sheetData>
    <row r="2">
      <c r="B2" s="64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6"/>
      <c r="AK2" s="9"/>
      <c r="AL2" s="9"/>
      <c r="AM2" s="9"/>
    </row>
    <row r="3">
      <c r="B3" s="10" t="s">
        <v>58</v>
      </c>
      <c r="I3" s="67"/>
      <c r="J3" s="68" t="s">
        <v>70</v>
      </c>
      <c r="O3" s="69"/>
      <c r="P3" s="68" t="s">
        <v>10</v>
      </c>
      <c r="U3" s="69"/>
      <c r="V3" s="68" t="s">
        <v>11</v>
      </c>
      <c r="AA3" s="69"/>
      <c r="AB3" s="68" t="s">
        <v>12</v>
      </c>
      <c r="AE3" s="12"/>
      <c r="AF3" s="12"/>
      <c r="AG3" s="70"/>
      <c r="AH3" s="71"/>
      <c r="AI3" s="71"/>
      <c r="AJ3" s="72"/>
      <c r="AK3" s="9"/>
      <c r="AL3" s="9"/>
      <c r="AM3" s="9"/>
    </row>
    <row r="4">
      <c r="B4" s="17"/>
      <c r="I4" s="67"/>
      <c r="J4" s="71">
        <f>COUNTA($B$10:$B$19)</f>
        <v>0</v>
      </c>
      <c r="O4" s="70"/>
      <c r="P4" s="71">
        <f>COUNTIF($C$10:$AD$19, TRUE)</f>
        <v>0</v>
      </c>
      <c r="U4" s="70"/>
      <c r="V4" s="73" t="str">
        <f>IFERROR(__xludf.DUMMYFUNCTION("SPARKLINE(AB4, {""charttype"",""bar"";""max"",1;""color1"",""#90EE90""})"),"")</f>
        <v/>
      </c>
      <c r="AA4" s="70"/>
      <c r="AB4" s="74">
        <f>(P4)/(COUNTA($C$10:$C$19)*COUNTA($C$10:$AD$10))</f>
        <v>0</v>
      </c>
      <c r="AE4" s="74"/>
      <c r="AF4" s="74"/>
      <c r="AG4" s="70"/>
      <c r="AH4" s="71"/>
      <c r="AI4" s="71"/>
      <c r="AJ4" s="72"/>
      <c r="AK4" s="9"/>
      <c r="AL4" s="9"/>
      <c r="AM4" s="9"/>
    </row>
    <row r="5">
      <c r="B5" s="75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7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8"/>
      <c r="AK5" s="9"/>
      <c r="AL5" s="9"/>
      <c r="AM5" s="9"/>
    </row>
    <row r="6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</row>
    <row r="7">
      <c r="B7" s="24" t="s">
        <v>13</v>
      </c>
      <c r="C7" s="25" t="s">
        <v>14</v>
      </c>
      <c r="D7" s="26"/>
      <c r="E7" s="26"/>
      <c r="F7" s="26"/>
      <c r="G7" s="26"/>
      <c r="H7" s="26"/>
      <c r="I7" s="27"/>
      <c r="J7" s="28" t="s">
        <v>15</v>
      </c>
      <c r="K7" s="26"/>
      <c r="L7" s="26"/>
      <c r="M7" s="26"/>
      <c r="N7" s="26"/>
      <c r="O7" s="26"/>
      <c r="P7" s="27"/>
      <c r="Q7" s="25" t="s">
        <v>16</v>
      </c>
      <c r="R7" s="26"/>
      <c r="S7" s="26"/>
      <c r="T7" s="26"/>
      <c r="U7" s="26"/>
      <c r="V7" s="26"/>
      <c r="W7" s="27"/>
      <c r="X7" s="28" t="s">
        <v>17</v>
      </c>
      <c r="Y7" s="26"/>
      <c r="Z7" s="26"/>
      <c r="AA7" s="26"/>
      <c r="AB7" s="26"/>
      <c r="AC7" s="26"/>
      <c r="AD7" s="27"/>
      <c r="AE7" s="83"/>
      <c r="AF7" s="30" t="s">
        <v>18</v>
      </c>
      <c r="AG7" s="31"/>
      <c r="AH7" s="31"/>
      <c r="AI7" s="31"/>
      <c r="AJ7" s="32"/>
    </row>
    <row r="8">
      <c r="B8" s="33"/>
      <c r="C8" s="34" t="s">
        <v>20</v>
      </c>
      <c r="D8" s="34" t="s">
        <v>21</v>
      </c>
      <c r="E8" s="34" t="s">
        <v>22</v>
      </c>
      <c r="F8" s="34" t="s">
        <v>23</v>
      </c>
      <c r="G8" s="34" t="s">
        <v>24</v>
      </c>
      <c r="H8" s="34" t="s">
        <v>25</v>
      </c>
      <c r="I8" s="34" t="s">
        <v>19</v>
      </c>
      <c r="J8" s="35" t="s">
        <v>20</v>
      </c>
      <c r="K8" s="35" t="s">
        <v>21</v>
      </c>
      <c r="L8" s="35" t="s">
        <v>22</v>
      </c>
      <c r="M8" s="35" t="s">
        <v>23</v>
      </c>
      <c r="N8" s="35" t="s">
        <v>24</v>
      </c>
      <c r="O8" s="35" t="s">
        <v>25</v>
      </c>
      <c r="P8" s="35" t="s">
        <v>19</v>
      </c>
      <c r="Q8" s="34" t="s">
        <v>20</v>
      </c>
      <c r="R8" s="34" t="s">
        <v>21</v>
      </c>
      <c r="S8" s="34" t="s">
        <v>22</v>
      </c>
      <c r="T8" s="34" t="s">
        <v>23</v>
      </c>
      <c r="U8" s="34" t="s">
        <v>24</v>
      </c>
      <c r="V8" s="34" t="s">
        <v>25</v>
      </c>
      <c r="W8" s="34" t="s">
        <v>19</v>
      </c>
      <c r="X8" s="35" t="s">
        <v>20</v>
      </c>
      <c r="Y8" s="35" t="s">
        <v>21</v>
      </c>
      <c r="Z8" s="35" t="s">
        <v>22</v>
      </c>
      <c r="AA8" s="35" t="s">
        <v>23</v>
      </c>
      <c r="AB8" s="35" t="s">
        <v>24</v>
      </c>
      <c r="AC8" s="35" t="s">
        <v>25</v>
      </c>
      <c r="AD8" s="35" t="s">
        <v>19</v>
      </c>
      <c r="AE8" s="83"/>
      <c r="AF8" s="36"/>
      <c r="AG8" s="37"/>
      <c r="AH8" s="37"/>
      <c r="AI8" s="37"/>
      <c r="AJ8" s="38"/>
    </row>
    <row r="9">
      <c r="B9" s="39"/>
      <c r="C9" s="34">
        <v>1.0</v>
      </c>
      <c r="D9" s="34">
        <v>2.0</v>
      </c>
      <c r="E9" s="34">
        <v>3.0</v>
      </c>
      <c r="F9" s="34">
        <v>4.0</v>
      </c>
      <c r="G9" s="34">
        <v>5.0</v>
      </c>
      <c r="H9" s="34">
        <v>6.0</v>
      </c>
      <c r="I9" s="34">
        <v>7.0</v>
      </c>
      <c r="J9" s="35">
        <v>8.0</v>
      </c>
      <c r="K9" s="35">
        <v>9.0</v>
      </c>
      <c r="L9" s="35">
        <v>10.0</v>
      </c>
      <c r="M9" s="35">
        <v>11.0</v>
      </c>
      <c r="N9" s="35">
        <v>12.0</v>
      </c>
      <c r="O9" s="35">
        <v>13.0</v>
      </c>
      <c r="P9" s="35">
        <v>14.0</v>
      </c>
      <c r="Q9" s="34">
        <v>15.0</v>
      </c>
      <c r="R9" s="34">
        <v>16.0</v>
      </c>
      <c r="S9" s="34">
        <v>17.0</v>
      </c>
      <c r="T9" s="34">
        <v>18.0</v>
      </c>
      <c r="U9" s="34">
        <v>19.0</v>
      </c>
      <c r="V9" s="34">
        <v>20.0</v>
      </c>
      <c r="W9" s="34">
        <v>21.0</v>
      </c>
      <c r="X9" s="35">
        <v>22.0</v>
      </c>
      <c r="Y9" s="35">
        <v>23.0</v>
      </c>
      <c r="Z9" s="35">
        <v>24.0</v>
      </c>
      <c r="AA9" s="35">
        <v>25.0</v>
      </c>
      <c r="AB9" s="35">
        <v>26.0</v>
      </c>
      <c r="AC9" s="35">
        <v>27.0</v>
      </c>
      <c r="AD9" s="28">
        <v>28.0</v>
      </c>
      <c r="AE9" s="83"/>
      <c r="AF9" s="40" t="s">
        <v>26</v>
      </c>
      <c r="AG9" s="40" t="s">
        <v>27</v>
      </c>
      <c r="AH9" s="41" t="s">
        <v>11</v>
      </c>
      <c r="AI9" s="26"/>
      <c r="AJ9" s="27"/>
    </row>
    <row r="10">
      <c r="B10" s="42"/>
      <c r="C10" s="82" t="b">
        <v>0</v>
      </c>
      <c r="D10" s="82" t="b">
        <v>0</v>
      </c>
      <c r="E10" s="82" t="b">
        <v>0</v>
      </c>
      <c r="F10" s="82" t="b">
        <v>0</v>
      </c>
      <c r="G10" s="82" t="b">
        <v>0</v>
      </c>
      <c r="H10" s="82" t="b">
        <v>0</v>
      </c>
      <c r="I10" s="82" t="b">
        <v>0</v>
      </c>
      <c r="J10" s="44" t="b">
        <v>0</v>
      </c>
      <c r="K10" s="44" t="b">
        <v>0</v>
      </c>
      <c r="L10" s="44" t="b">
        <v>0</v>
      </c>
      <c r="M10" s="44" t="b">
        <v>0</v>
      </c>
      <c r="N10" s="44" t="b">
        <v>0</v>
      </c>
      <c r="O10" s="44" t="b">
        <v>0</v>
      </c>
      <c r="P10" s="44" t="b">
        <v>0</v>
      </c>
      <c r="Q10" s="82" t="b">
        <v>0</v>
      </c>
      <c r="R10" s="82" t="b">
        <v>0</v>
      </c>
      <c r="S10" s="82" t="b">
        <v>0</v>
      </c>
      <c r="T10" s="82" t="b">
        <v>0</v>
      </c>
      <c r="U10" s="82" t="b">
        <v>0</v>
      </c>
      <c r="V10" s="82" t="b">
        <v>0</v>
      </c>
      <c r="W10" s="82" t="b">
        <v>0</v>
      </c>
      <c r="X10" s="44" t="b">
        <v>0</v>
      </c>
      <c r="Y10" s="44" t="b">
        <v>0</v>
      </c>
      <c r="Z10" s="44" t="b">
        <v>0</v>
      </c>
      <c r="AA10" s="44" t="b">
        <v>0</v>
      </c>
      <c r="AB10" s="44" t="b">
        <v>0</v>
      </c>
      <c r="AC10" s="44" t="b">
        <v>0</v>
      </c>
      <c r="AD10" s="44" t="b">
        <v>0</v>
      </c>
      <c r="AE10" s="83"/>
      <c r="AF10" s="84">
        <v>28.0</v>
      </c>
      <c r="AG10" s="46">
        <f t="shared" ref="AG10:AG19" si="1">COUNTIF(C10:AD10, TRUE)</f>
        <v>0</v>
      </c>
      <c r="AH10" s="29" t="str">
        <f>IFERROR(__xludf.DUMMYFUNCTION("SPARKLINE(AG10/AF10, {""charttype"",""bar"";""max"",1;""color1"",""#90EE90""})"),"")</f>
        <v/>
      </c>
      <c r="AI10" s="26"/>
      <c r="AJ10" s="27"/>
      <c r="AM10" s="9"/>
    </row>
    <row r="11">
      <c r="B11" s="42"/>
      <c r="C11" s="82" t="b">
        <v>0</v>
      </c>
      <c r="D11" s="82" t="b">
        <v>0</v>
      </c>
      <c r="E11" s="82" t="b">
        <v>0</v>
      </c>
      <c r="F11" s="82" t="b">
        <v>0</v>
      </c>
      <c r="G11" s="82" t="b">
        <v>0</v>
      </c>
      <c r="H11" s="82" t="b">
        <v>0</v>
      </c>
      <c r="I11" s="82" t="b">
        <v>0</v>
      </c>
      <c r="J11" s="44" t="b">
        <v>0</v>
      </c>
      <c r="K11" s="44" t="b">
        <v>0</v>
      </c>
      <c r="L11" s="44" t="b">
        <v>0</v>
      </c>
      <c r="M11" s="44" t="b">
        <v>0</v>
      </c>
      <c r="N11" s="44" t="b">
        <v>0</v>
      </c>
      <c r="O11" s="44" t="b">
        <v>0</v>
      </c>
      <c r="P11" s="44" t="b">
        <v>0</v>
      </c>
      <c r="Q11" s="82" t="b">
        <v>0</v>
      </c>
      <c r="R11" s="82" t="b">
        <v>0</v>
      </c>
      <c r="S11" s="82" t="b">
        <v>0</v>
      </c>
      <c r="T11" s="82" t="b">
        <v>0</v>
      </c>
      <c r="U11" s="82" t="b">
        <v>0</v>
      </c>
      <c r="V11" s="82" t="b">
        <v>0</v>
      </c>
      <c r="W11" s="82" t="b">
        <v>0</v>
      </c>
      <c r="X11" s="44" t="b">
        <v>0</v>
      </c>
      <c r="Y11" s="44" t="b">
        <v>0</v>
      </c>
      <c r="Z11" s="44" t="b">
        <v>0</v>
      </c>
      <c r="AA11" s="44" t="b">
        <v>0</v>
      </c>
      <c r="AB11" s="44" t="b">
        <v>0</v>
      </c>
      <c r="AC11" s="44" t="b">
        <v>0</v>
      </c>
      <c r="AD11" s="44" t="b">
        <v>0</v>
      </c>
      <c r="AE11" s="83"/>
      <c r="AF11" s="84">
        <v>28.0</v>
      </c>
      <c r="AG11" s="46">
        <f t="shared" si="1"/>
        <v>0</v>
      </c>
      <c r="AH11" s="29" t="str">
        <f>IFERROR(__xludf.DUMMYFUNCTION("SPARKLINE(AG11/AF11, {""charttype"",""bar"";""max"",1;""color1"",""#90EE90""})"),"")</f>
        <v/>
      </c>
      <c r="AI11" s="26"/>
      <c r="AJ11" s="27"/>
      <c r="AM11" s="9"/>
    </row>
    <row r="12">
      <c r="B12" s="42"/>
      <c r="C12" s="82" t="b">
        <v>0</v>
      </c>
      <c r="D12" s="82" t="b">
        <v>0</v>
      </c>
      <c r="E12" s="82" t="b">
        <v>0</v>
      </c>
      <c r="F12" s="82" t="b">
        <v>0</v>
      </c>
      <c r="G12" s="82" t="b">
        <v>0</v>
      </c>
      <c r="H12" s="82" t="b">
        <v>0</v>
      </c>
      <c r="I12" s="82" t="b">
        <v>0</v>
      </c>
      <c r="J12" s="44" t="b">
        <v>0</v>
      </c>
      <c r="K12" s="44" t="b">
        <v>0</v>
      </c>
      <c r="L12" s="44" t="b">
        <v>0</v>
      </c>
      <c r="M12" s="44" t="b">
        <v>0</v>
      </c>
      <c r="N12" s="44" t="b">
        <v>0</v>
      </c>
      <c r="O12" s="44" t="b">
        <v>0</v>
      </c>
      <c r="P12" s="44" t="b">
        <v>0</v>
      </c>
      <c r="Q12" s="82" t="b">
        <v>0</v>
      </c>
      <c r="R12" s="82" t="b">
        <v>0</v>
      </c>
      <c r="S12" s="82" t="b">
        <v>0</v>
      </c>
      <c r="T12" s="82" t="b">
        <v>0</v>
      </c>
      <c r="U12" s="82" t="b">
        <v>0</v>
      </c>
      <c r="V12" s="82" t="b">
        <v>0</v>
      </c>
      <c r="W12" s="82" t="b">
        <v>0</v>
      </c>
      <c r="X12" s="44" t="b">
        <v>0</v>
      </c>
      <c r="Y12" s="44" t="b">
        <v>0</v>
      </c>
      <c r="Z12" s="44" t="b">
        <v>0</v>
      </c>
      <c r="AA12" s="44" t="b">
        <v>0</v>
      </c>
      <c r="AB12" s="44" t="b">
        <v>0</v>
      </c>
      <c r="AC12" s="44" t="b">
        <v>0</v>
      </c>
      <c r="AD12" s="44" t="b">
        <v>0</v>
      </c>
      <c r="AE12" s="83"/>
      <c r="AF12" s="84">
        <v>28.0</v>
      </c>
      <c r="AG12" s="46">
        <f t="shared" si="1"/>
        <v>0</v>
      </c>
      <c r="AH12" s="29" t="str">
        <f>IFERROR(__xludf.DUMMYFUNCTION("SPARKLINE(AG12/AF12, {""charttype"",""bar"";""max"",1;""color1"",""#90EE90""})"),"")</f>
        <v/>
      </c>
      <c r="AI12" s="26"/>
      <c r="AJ12" s="27"/>
      <c r="AM12" s="9"/>
    </row>
    <row r="13">
      <c r="B13" s="42"/>
      <c r="C13" s="82" t="b">
        <v>0</v>
      </c>
      <c r="D13" s="82" t="b">
        <v>0</v>
      </c>
      <c r="E13" s="82" t="b">
        <v>0</v>
      </c>
      <c r="F13" s="82" t="b">
        <v>0</v>
      </c>
      <c r="G13" s="82" t="b">
        <v>0</v>
      </c>
      <c r="H13" s="82" t="b">
        <v>0</v>
      </c>
      <c r="I13" s="82" t="b">
        <v>0</v>
      </c>
      <c r="J13" s="44" t="b">
        <v>0</v>
      </c>
      <c r="K13" s="44" t="b">
        <v>0</v>
      </c>
      <c r="L13" s="44" t="b">
        <v>0</v>
      </c>
      <c r="M13" s="44" t="b">
        <v>0</v>
      </c>
      <c r="N13" s="44" t="b">
        <v>0</v>
      </c>
      <c r="O13" s="44" t="b">
        <v>0</v>
      </c>
      <c r="P13" s="44" t="b">
        <v>0</v>
      </c>
      <c r="Q13" s="82" t="b">
        <v>0</v>
      </c>
      <c r="R13" s="82" t="b">
        <v>0</v>
      </c>
      <c r="S13" s="82" t="b">
        <v>0</v>
      </c>
      <c r="T13" s="82" t="b">
        <v>0</v>
      </c>
      <c r="U13" s="82" t="b">
        <v>0</v>
      </c>
      <c r="V13" s="82" t="b">
        <v>0</v>
      </c>
      <c r="W13" s="82" t="b">
        <v>0</v>
      </c>
      <c r="X13" s="44" t="b">
        <v>0</v>
      </c>
      <c r="Y13" s="44" t="b">
        <v>0</v>
      </c>
      <c r="Z13" s="44" t="b">
        <v>0</v>
      </c>
      <c r="AA13" s="44" t="b">
        <v>0</v>
      </c>
      <c r="AB13" s="44" t="b">
        <v>0</v>
      </c>
      <c r="AC13" s="44" t="b">
        <v>0</v>
      </c>
      <c r="AD13" s="44" t="b">
        <v>0</v>
      </c>
      <c r="AE13" s="83"/>
      <c r="AF13" s="84">
        <v>28.0</v>
      </c>
      <c r="AG13" s="46">
        <f t="shared" si="1"/>
        <v>0</v>
      </c>
      <c r="AH13" s="29" t="str">
        <f>IFERROR(__xludf.DUMMYFUNCTION("SPARKLINE(AG13/AF13, {""charttype"",""bar"";""max"",1;""color1"",""#90EE90""})"),"")</f>
        <v/>
      </c>
      <c r="AI13" s="26"/>
      <c r="AJ13" s="27"/>
      <c r="AM13" s="9"/>
    </row>
    <row r="14">
      <c r="B14" s="42"/>
      <c r="C14" s="82" t="b">
        <v>0</v>
      </c>
      <c r="D14" s="82" t="b">
        <v>0</v>
      </c>
      <c r="E14" s="82" t="b">
        <v>0</v>
      </c>
      <c r="F14" s="82" t="b">
        <v>0</v>
      </c>
      <c r="G14" s="82" t="b">
        <v>0</v>
      </c>
      <c r="H14" s="82" t="b">
        <v>0</v>
      </c>
      <c r="I14" s="82" t="b">
        <v>0</v>
      </c>
      <c r="J14" s="44" t="b">
        <v>0</v>
      </c>
      <c r="K14" s="44" t="b">
        <v>0</v>
      </c>
      <c r="L14" s="44" t="b">
        <v>0</v>
      </c>
      <c r="M14" s="44" t="b">
        <v>0</v>
      </c>
      <c r="N14" s="44" t="b">
        <v>0</v>
      </c>
      <c r="O14" s="44" t="b">
        <v>0</v>
      </c>
      <c r="P14" s="44" t="b">
        <v>0</v>
      </c>
      <c r="Q14" s="82" t="b">
        <v>0</v>
      </c>
      <c r="R14" s="82" t="b">
        <v>0</v>
      </c>
      <c r="S14" s="82" t="b">
        <v>0</v>
      </c>
      <c r="T14" s="82" t="b">
        <v>0</v>
      </c>
      <c r="U14" s="82" t="b">
        <v>0</v>
      </c>
      <c r="V14" s="82" t="b">
        <v>0</v>
      </c>
      <c r="W14" s="82" t="b">
        <v>0</v>
      </c>
      <c r="X14" s="44" t="b">
        <v>0</v>
      </c>
      <c r="Y14" s="44" t="b">
        <v>0</v>
      </c>
      <c r="Z14" s="44" t="b">
        <v>0</v>
      </c>
      <c r="AA14" s="44" t="b">
        <v>0</v>
      </c>
      <c r="AB14" s="44" t="b">
        <v>0</v>
      </c>
      <c r="AC14" s="44" t="b">
        <v>0</v>
      </c>
      <c r="AD14" s="44" t="b">
        <v>0</v>
      </c>
      <c r="AE14" s="83"/>
      <c r="AF14" s="84">
        <v>28.0</v>
      </c>
      <c r="AG14" s="46">
        <f t="shared" si="1"/>
        <v>0</v>
      </c>
      <c r="AH14" s="29" t="str">
        <f>IFERROR(__xludf.DUMMYFUNCTION("SPARKLINE(AG14/AF14, {""charttype"",""bar"";""max"",1;""color1"",""#90EE90""})"),"")</f>
        <v/>
      </c>
      <c r="AI14" s="26"/>
      <c r="AJ14" s="27"/>
      <c r="AM14" s="9"/>
    </row>
    <row r="15">
      <c r="B15" s="42"/>
      <c r="C15" s="82" t="b">
        <v>0</v>
      </c>
      <c r="D15" s="82" t="b">
        <v>0</v>
      </c>
      <c r="E15" s="82" t="b">
        <v>0</v>
      </c>
      <c r="F15" s="82" t="b">
        <v>0</v>
      </c>
      <c r="G15" s="82" t="b">
        <v>0</v>
      </c>
      <c r="H15" s="82" t="b">
        <v>0</v>
      </c>
      <c r="I15" s="82" t="b">
        <v>0</v>
      </c>
      <c r="J15" s="44" t="b">
        <v>0</v>
      </c>
      <c r="K15" s="44" t="b">
        <v>0</v>
      </c>
      <c r="L15" s="44" t="b">
        <v>0</v>
      </c>
      <c r="M15" s="44" t="b">
        <v>0</v>
      </c>
      <c r="N15" s="44" t="b">
        <v>0</v>
      </c>
      <c r="O15" s="44" t="b">
        <v>0</v>
      </c>
      <c r="P15" s="44" t="b">
        <v>0</v>
      </c>
      <c r="Q15" s="82" t="b">
        <v>0</v>
      </c>
      <c r="R15" s="82" t="b">
        <v>0</v>
      </c>
      <c r="S15" s="82" t="b">
        <v>0</v>
      </c>
      <c r="T15" s="82" t="b">
        <v>0</v>
      </c>
      <c r="U15" s="82" t="b">
        <v>0</v>
      </c>
      <c r="V15" s="82" t="b">
        <v>0</v>
      </c>
      <c r="W15" s="82" t="b">
        <v>0</v>
      </c>
      <c r="X15" s="44" t="b">
        <v>0</v>
      </c>
      <c r="Y15" s="44" t="b">
        <v>0</v>
      </c>
      <c r="Z15" s="44" t="b">
        <v>0</v>
      </c>
      <c r="AA15" s="44" t="b">
        <v>0</v>
      </c>
      <c r="AB15" s="44" t="b">
        <v>0</v>
      </c>
      <c r="AC15" s="44" t="b">
        <v>0</v>
      </c>
      <c r="AD15" s="44" t="b">
        <v>0</v>
      </c>
      <c r="AE15" s="83"/>
      <c r="AF15" s="84">
        <v>28.0</v>
      </c>
      <c r="AG15" s="46">
        <f t="shared" si="1"/>
        <v>0</v>
      </c>
      <c r="AH15" s="29" t="str">
        <f>IFERROR(__xludf.DUMMYFUNCTION("SPARKLINE(AG15/AF15, {""charttype"",""bar"";""max"",1;""color1"",""#90EE90""})"),"")</f>
        <v/>
      </c>
      <c r="AI15" s="26"/>
      <c r="AJ15" s="27"/>
      <c r="AM15" s="9"/>
    </row>
    <row r="16">
      <c r="B16" s="42"/>
      <c r="C16" s="82" t="b">
        <v>0</v>
      </c>
      <c r="D16" s="82" t="b">
        <v>0</v>
      </c>
      <c r="E16" s="82" t="b">
        <v>0</v>
      </c>
      <c r="F16" s="82" t="b">
        <v>0</v>
      </c>
      <c r="G16" s="82" t="b">
        <v>0</v>
      </c>
      <c r="H16" s="82" t="b">
        <v>0</v>
      </c>
      <c r="I16" s="82" t="b">
        <v>0</v>
      </c>
      <c r="J16" s="44" t="b">
        <v>0</v>
      </c>
      <c r="K16" s="44" t="b">
        <v>0</v>
      </c>
      <c r="L16" s="44" t="b">
        <v>0</v>
      </c>
      <c r="M16" s="44" t="b">
        <v>0</v>
      </c>
      <c r="N16" s="44" t="b">
        <v>0</v>
      </c>
      <c r="O16" s="44" t="b">
        <v>0</v>
      </c>
      <c r="P16" s="44" t="b">
        <v>0</v>
      </c>
      <c r="Q16" s="82" t="b">
        <v>0</v>
      </c>
      <c r="R16" s="82" t="b">
        <v>0</v>
      </c>
      <c r="S16" s="82" t="b">
        <v>0</v>
      </c>
      <c r="T16" s="82" t="b">
        <v>0</v>
      </c>
      <c r="U16" s="82" t="b">
        <v>0</v>
      </c>
      <c r="V16" s="82" t="b">
        <v>0</v>
      </c>
      <c r="W16" s="82" t="b">
        <v>0</v>
      </c>
      <c r="X16" s="44" t="b">
        <v>0</v>
      </c>
      <c r="Y16" s="44" t="b">
        <v>0</v>
      </c>
      <c r="Z16" s="44" t="b">
        <v>0</v>
      </c>
      <c r="AA16" s="44" t="b">
        <v>0</v>
      </c>
      <c r="AB16" s="44" t="b">
        <v>0</v>
      </c>
      <c r="AC16" s="44" t="b">
        <v>0</v>
      </c>
      <c r="AD16" s="44" t="b">
        <v>0</v>
      </c>
      <c r="AE16" s="83"/>
      <c r="AF16" s="84">
        <v>28.0</v>
      </c>
      <c r="AG16" s="46">
        <f t="shared" si="1"/>
        <v>0</v>
      </c>
      <c r="AH16" s="29" t="str">
        <f>IFERROR(__xludf.DUMMYFUNCTION("SPARKLINE(AG16/AF16, {""charttype"",""bar"";""max"",1;""color1"",""#90EE90""})"),"")</f>
        <v/>
      </c>
      <c r="AI16" s="26"/>
      <c r="AJ16" s="27"/>
      <c r="AM16" s="9"/>
    </row>
    <row r="17">
      <c r="B17" s="42"/>
      <c r="C17" s="82" t="b">
        <v>0</v>
      </c>
      <c r="D17" s="82" t="b">
        <v>0</v>
      </c>
      <c r="E17" s="82" t="b">
        <v>0</v>
      </c>
      <c r="F17" s="82" t="b">
        <v>0</v>
      </c>
      <c r="G17" s="82" t="b">
        <v>0</v>
      </c>
      <c r="H17" s="82" t="b">
        <v>0</v>
      </c>
      <c r="I17" s="82" t="b">
        <v>0</v>
      </c>
      <c r="J17" s="44" t="b">
        <v>0</v>
      </c>
      <c r="K17" s="44" t="b">
        <v>0</v>
      </c>
      <c r="L17" s="44" t="b">
        <v>0</v>
      </c>
      <c r="M17" s="44" t="b">
        <v>0</v>
      </c>
      <c r="N17" s="44" t="b">
        <v>0</v>
      </c>
      <c r="O17" s="44" t="b">
        <v>0</v>
      </c>
      <c r="P17" s="44" t="b">
        <v>0</v>
      </c>
      <c r="Q17" s="82" t="b">
        <v>0</v>
      </c>
      <c r="R17" s="82" t="b">
        <v>0</v>
      </c>
      <c r="S17" s="82" t="b">
        <v>0</v>
      </c>
      <c r="T17" s="82" t="b">
        <v>0</v>
      </c>
      <c r="U17" s="82" t="b">
        <v>0</v>
      </c>
      <c r="V17" s="82" t="b">
        <v>0</v>
      </c>
      <c r="W17" s="82" t="b">
        <v>0</v>
      </c>
      <c r="X17" s="44" t="b">
        <v>0</v>
      </c>
      <c r="Y17" s="44" t="b">
        <v>0</v>
      </c>
      <c r="Z17" s="44" t="b">
        <v>0</v>
      </c>
      <c r="AA17" s="44" t="b">
        <v>0</v>
      </c>
      <c r="AB17" s="44" t="b">
        <v>0</v>
      </c>
      <c r="AC17" s="44" t="b">
        <v>0</v>
      </c>
      <c r="AD17" s="44" t="b">
        <v>0</v>
      </c>
      <c r="AE17" s="83"/>
      <c r="AF17" s="84">
        <v>28.0</v>
      </c>
      <c r="AG17" s="46">
        <f t="shared" si="1"/>
        <v>0</v>
      </c>
      <c r="AH17" s="29" t="str">
        <f>IFERROR(__xludf.DUMMYFUNCTION("SPARKLINE(AG17/AF17, {""charttype"",""bar"";""max"",1;""color1"",""#90EE90""})"),"")</f>
        <v/>
      </c>
      <c r="AI17" s="26"/>
      <c r="AJ17" s="27"/>
      <c r="AM17" s="9"/>
    </row>
    <row r="18">
      <c r="B18" s="42"/>
      <c r="C18" s="82" t="b">
        <v>0</v>
      </c>
      <c r="D18" s="82" t="b">
        <v>0</v>
      </c>
      <c r="E18" s="82" t="b">
        <v>0</v>
      </c>
      <c r="F18" s="82" t="b">
        <v>0</v>
      </c>
      <c r="G18" s="82" t="b">
        <v>0</v>
      </c>
      <c r="H18" s="82" t="b">
        <v>0</v>
      </c>
      <c r="I18" s="82" t="b">
        <v>0</v>
      </c>
      <c r="J18" s="44" t="b">
        <v>0</v>
      </c>
      <c r="K18" s="44" t="b">
        <v>0</v>
      </c>
      <c r="L18" s="44" t="b">
        <v>0</v>
      </c>
      <c r="M18" s="44" t="b">
        <v>0</v>
      </c>
      <c r="N18" s="44" t="b">
        <v>0</v>
      </c>
      <c r="O18" s="44" t="b">
        <v>0</v>
      </c>
      <c r="P18" s="44" t="b">
        <v>0</v>
      </c>
      <c r="Q18" s="82" t="b">
        <v>0</v>
      </c>
      <c r="R18" s="82" t="b">
        <v>0</v>
      </c>
      <c r="S18" s="82" t="b">
        <v>0</v>
      </c>
      <c r="T18" s="82" t="b">
        <v>0</v>
      </c>
      <c r="U18" s="82" t="b">
        <v>0</v>
      </c>
      <c r="V18" s="82" t="b">
        <v>0</v>
      </c>
      <c r="W18" s="82" t="b">
        <v>0</v>
      </c>
      <c r="X18" s="44" t="b">
        <v>0</v>
      </c>
      <c r="Y18" s="44" t="b">
        <v>0</v>
      </c>
      <c r="Z18" s="44" t="b">
        <v>0</v>
      </c>
      <c r="AA18" s="44" t="b">
        <v>0</v>
      </c>
      <c r="AB18" s="44" t="b">
        <v>0</v>
      </c>
      <c r="AC18" s="44" t="b">
        <v>0</v>
      </c>
      <c r="AD18" s="44" t="b">
        <v>0</v>
      </c>
      <c r="AE18" s="83"/>
      <c r="AF18" s="84">
        <v>28.0</v>
      </c>
      <c r="AG18" s="46">
        <f t="shared" si="1"/>
        <v>0</v>
      </c>
      <c r="AH18" s="29" t="str">
        <f>IFERROR(__xludf.DUMMYFUNCTION("SPARKLINE(AG18/AF18, {""charttype"",""bar"";""max"",1;""color1"",""#90EE90""})"),"")</f>
        <v/>
      </c>
      <c r="AI18" s="26"/>
      <c r="AJ18" s="27"/>
      <c r="AM18" s="9"/>
    </row>
    <row r="19">
      <c r="B19" s="42"/>
      <c r="C19" s="82" t="b">
        <v>0</v>
      </c>
      <c r="D19" s="82" t="b">
        <v>0</v>
      </c>
      <c r="E19" s="82" t="b">
        <v>0</v>
      </c>
      <c r="F19" s="82" t="b">
        <v>0</v>
      </c>
      <c r="G19" s="82" t="b">
        <v>0</v>
      </c>
      <c r="H19" s="82" t="b">
        <v>0</v>
      </c>
      <c r="I19" s="82" t="b">
        <v>0</v>
      </c>
      <c r="J19" s="44" t="b">
        <v>0</v>
      </c>
      <c r="K19" s="44" t="b">
        <v>0</v>
      </c>
      <c r="L19" s="44" t="b">
        <v>0</v>
      </c>
      <c r="M19" s="44" t="b">
        <v>0</v>
      </c>
      <c r="N19" s="44" t="b">
        <v>0</v>
      </c>
      <c r="O19" s="44" t="b">
        <v>0</v>
      </c>
      <c r="P19" s="44" t="b">
        <v>0</v>
      </c>
      <c r="Q19" s="82" t="b">
        <v>0</v>
      </c>
      <c r="R19" s="82" t="b">
        <v>0</v>
      </c>
      <c r="S19" s="82" t="b">
        <v>0</v>
      </c>
      <c r="T19" s="82" t="b">
        <v>0</v>
      </c>
      <c r="U19" s="82" t="b">
        <v>0</v>
      </c>
      <c r="V19" s="82" t="b">
        <v>0</v>
      </c>
      <c r="W19" s="82" t="b">
        <v>0</v>
      </c>
      <c r="X19" s="44" t="b">
        <v>0</v>
      </c>
      <c r="Y19" s="44" t="b">
        <v>0</v>
      </c>
      <c r="Z19" s="44" t="b">
        <v>0</v>
      </c>
      <c r="AA19" s="44" t="b">
        <v>0</v>
      </c>
      <c r="AB19" s="44" t="b">
        <v>0</v>
      </c>
      <c r="AC19" s="44" t="b">
        <v>0</v>
      </c>
      <c r="AD19" s="44" t="b">
        <v>0</v>
      </c>
      <c r="AE19" s="83"/>
      <c r="AF19" s="84">
        <v>28.0</v>
      </c>
      <c r="AG19" s="46">
        <f t="shared" si="1"/>
        <v>0</v>
      </c>
      <c r="AH19" s="29" t="str">
        <f>IFERROR(__xludf.DUMMYFUNCTION("SPARKLINE(AG19/AF19, {""charttype"",""bar"";""max"",1;""color1"",""#90EE90""})"),"")</f>
        <v/>
      </c>
      <c r="AI19" s="26"/>
      <c r="AJ19" s="27"/>
      <c r="AM19" s="9"/>
    </row>
    <row r="20">
      <c r="B20" s="47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</row>
    <row r="21">
      <c r="B21" s="40" t="s">
        <v>11</v>
      </c>
      <c r="C21" s="49">
        <f t="shared" ref="C21:AD21" si="2">COUNTIF(C10:C19, TRUE)/COUNTA(C10:C19)</f>
        <v>0</v>
      </c>
      <c r="D21" s="49">
        <f t="shared" si="2"/>
        <v>0</v>
      </c>
      <c r="E21" s="49">
        <f t="shared" si="2"/>
        <v>0</v>
      </c>
      <c r="F21" s="49">
        <f t="shared" si="2"/>
        <v>0</v>
      </c>
      <c r="G21" s="49">
        <f t="shared" si="2"/>
        <v>0</v>
      </c>
      <c r="H21" s="49">
        <f t="shared" si="2"/>
        <v>0</v>
      </c>
      <c r="I21" s="49">
        <f t="shared" si="2"/>
        <v>0</v>
      </c>
      <c r="J21" s="49">
        <f t="shared" si="2"/>
        <v>0</v>
      </c>
      <c r="K21" s="49">
        <f t="shared" si="2"/>
        <v>0</v>
      </c>
      <c r="L21" s="49">
        <f t="shared" si="2"/>
        <v>0</v>
      </c>
      <c r="M21" s="49">
        <f t="shared" si="2"/>
        <v>0</v>
      </c>
      <c r="N21" s="49">
        <f t="shared" si="2"/>
        <v>0</v>
      </c>
      <c r="O21" s="49">
        <f t="shared" si="2"/>
        <v>0</v>
      </c>
      <c r="P21" s="49">
        <f t="shared" si="2"/>
        <v>0</v>
      </c>
      <c r="Q21" s="49">
        <f t="shared" si="2"/>
        <v>0</v>
      </c>
      <c r="R21" s="49">
        <f t="shared" si="2"/>
        <v>0</v>
      </c>
      <c r="S21" s="49">
        <f t="shared" si="2"/>
        <v>0</v>
      </c>
      <c r="T21" s="49">
        <f t="shared" si="2"/>
        <v>0</v>
      </c>
      <c r="U21" s="49">
        <f t="shared" si="2"/>
        <v>0</v>
      </c>
      <c r="V21" s="49">
        <f t="shared" si="2"/>
        <v>0</v>
      </c>
      <c r="W21" s="49">
        <f t="shared" si="2"/>
        <v>0</v>
      </c>
      <c r="X21" s="49">
        <f t="shared" si="2"/>
        <v>0</v>
      </c>
      <c r="Y21" s="49">
        <f t="shared" si="2"/>
        <v>0</v>
      </c>
      <c r="Z21" s="49">
        <f t="shared" si="2"/>
        <v>0</v>
      </c>
      <c r="AA21" s="49">
        <f t="shared" si="2"/>
        <v>0</v>
      </c>
      <c r="AB21" s="49">
        <f t="shared" si="2"/>
        <v>0</v>
      </c>
      <c r="AC21" s="49">
        <f t="shared" si="2"/>
        <v>0</v>
      </c>
      <c r="AD21" s="49">
        <f t="shared" si="2"/>
        <v>0</v>
      </c>
      <c r="AE21" s="85"/>
      <c r="AF21" s="85"/>
    </row>
    <row r="22">
      <c r="B22" s="40" t="s">
        <v>38</v>
      </c>
      <c r="C22" s="46">
        <f t="shared" ref="C22:AD22" si="3">COUNTIF(C10:C19, TRUE)</f>
        <v>0</v>
      </c>
      <c r="D22" s="46">
        <f t="shared" si="3"/>
        <v>0</v>
      </c>
      <c r="E22" s="46">
        <f t="shared" si="3"/>
        <v>0</v>
      </c>
      <c r="F22" s="46">
        <f t="shared" si="3"/>
        <v>0</v>
      </c>
      <c r="G22" s="46">
        <f t="shared" si="3"/>
        <v>0</v>
      </c>
      <c r="H22" s="46">
        <f t="shared" si="3"/>
        <v>0</v>
      </c>
      <c r="I22" s="46">
        <f t="shared" si="3"/>
        <v>0</v>
      </c>
      <c r="J22" s="46">
        <f t="shared" si="3"/>
        <v>0</v>
      </c>
      <c r="K22" s="46">
        <f t="shared" si="3"/>
        <v>0</v>
      </c>
      <c r="L22" s="46">
        <f t="shared" si="3"/>
        <v>0</v>
      </c>
      <c r="M22" s="46">
        <f t="shared" si="3"/>
        <v>0</v>
      </c>
      <c r="N22" s="46">
        <f t="shared" si="3"/>
        <v>0</v>
      </c>
      <c r="O22" s="46">
        <f t="shared" si="3"/>
        <v>0</v>
      </c>
      <c r="P22" s="46">
        <f t="shared" si="3"/>
        <v>0</v>
      </c>
      <c r="Q22" s="46">
        <f t="shared" si="3"/>
        <v>0</v>
      </c>
      <c r="R22" s="46">
        <f t="shared" si="3"/>
        <v>0</v>
      </c>
      <c r="S22" s="46">
        <f t="shared" si="3"/>
        <v>0</v>
      </c>
      <c r="T22" s="46">
        <f t="shared" si="3"/>
        <v>0</v>
      </c>
      <c r="U22" s="46">
        <f t="shared" si="3"/>
        <v>0</v>
      </c>
      <c r="V22" s="46">
        <f t="shared" si="3"/>
        <v>0</v>
      </c>
      <c r="W22" s="46">
        <f t="shared" si="3"/>
        <v>0</v>
      </c>
      <c r="X22" s="46">
        <f t="shared" si="3"/>
        <v>0</v>
      </c>
      <c r="Y22" s="46">
        <f t="shared" si="3"/>
        <v>0</v>
      </c>
      <c r="Z22" s="46">
        <f t="shared" si="3"/>
        <v>0</v>
      </c>
      <c r="AA22" s="46">
        <f t="shared" si="3"/>
        <v>0</v>
      </c>
      <c r="AB22" s="46">
        <f t="shared" si="3"/>
        <v>0</v>
      </c>
      <c r="AC22" s="46">
        <f t="shared" si="3"/>
        <v>0</v>
      </c>
      <c r="AD22" s="46">
        <f t="shared" si="3"/>
        <v>0</v>
      </c>
      <c r="AE22" s="86"/>
      <c r="AF22" s="86"/>
    </row>
    <row r="23">
      <c r="B23" s="40" t="s">
        <v>39</v>
      </c>
      <c r="C23" s="46">
        <f t="shared" ref="C23:AD23" si="4">COUNTIF(C10:C19, FALSE)</f>
        <v>10</v>
      </c>
      <c r="D23" s="46">
        <f t="shared" si="4"/>
        <v>10</v>
      </c>
      <c r="E23" s="46">
        <f t="shared" si="4"/>
        <v>10</v>
      </c>
      <c r="F23" s="46">
        <f t="shared" si="4"/>
        <v>10</v>
      </c>
      <c r="G23" s="46">
        <f t="shared" si="4"/>
        <v>10</v>
      </c>
      <c r="H23" s="46">
        <f t="shared" si="4"/>
        <v>10</v>
      </c>
      <c r="I23" s="46">
        <f t="shared" si="4"/>
        <v>10</v>
      </c>
      <c r="J23" s="46">
        <f t="shared" si="4"/>
        <v>10</v>
      </c>
      <c r="K23" s="46">
        <f t="shared" si="4"/>
        <v>10</v>
      </c>
      <c r="L23" s="46">
        <f t="shared" si="4"/>
        <v>10</v>
      </c>
      <c r="M23" s="46">
        <f t="shared" si="4"/>
        <v>10</v>
      </c>
      <c r="N23" s="46">
        <f t="shared" si="4"/>
        <v>10</v>
      </c>
      <c r="O23" s="46">
        <f t="shared" si="4"/>
        <v>10</v>
      </c>
      <c r="P23" s="46">
        <f t="shared" si="4"/>
        <v>10</v>
      </c>
      <c r="Q23" s="46">
        <f t="shared" si="4"/>
        <v>10</v>
      </c>
      <c r="R23" s="46">
        <f t="shared" si="4"/>
        <v>10</v>
      </c>
      <c r="S23" s="46">
        <f t="shared" si="4"/>
        <v>10</v>
      </c>
      <c r="T23" s="46">
        <f t="shared" si="4"/>
        <v>10</v>
      </c>
      <c r="U23" s="46">
        <f t="shared" si="4"/>
        <v>10</v>
      </c>
      <c r="V23" s="46">
        <f t="shared" si="4"/>
        <v>10</v>
      </c>
      <c r="W23" s="46">
        <f t="shared" si="4"/>
        <v>10</v>
      </c>
      <c r="X23" s="46">
        <f t="shared" si="4"/>
        <v>10</v>
      </c>
      <c r="Y23" s="46">
        <f t="shared" si="4"/>
        <v>10</v>
      </c>
      <c r="Z23" s="46">
        <f t="shared" si="4"/>
        <v>10</v>
      </c>
      <c r="AA23" s="46">
        <f t="shared" si="4"/>
        <v>10</v>
      </c>
      <c r="AB23" s="46">
        <f t="shared" si="4"/>
        <v>10</v>
      </c>
      <c r="AC23" s="46">
        <f t="shared" si="4"/>
        <v>10</v>
      </c>
      <c r="AD23" s="46">
        <f t="shared" si="4"/>
        <v>10</v>
      </c>
      <c r="AE23" s="86"/>
      <c r="AF23" s="86"/>
    </row>
    <row r="33">
      <c r="B33" s="50"/>
      <c r="C33" s="87" t="s">
        <v>40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7"/>
      <c r="AE33" s="88"/>
      <c r="AF33" s="88"/>
    </row>
    <row r="34">
      <c r="B34" s="40" t="s">
        <v>41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88"/>
      <c r="AF34" s="88"/>
    </row>
    <row r="35">
      <c r="B35" s="40" t="s">
        <v>42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88"/>
      <c r="AF35" s="88"/>
    </row>
    <row r="36">
      <c r="C36" s="53">
        <f t="shared" ref="C36:AF36" si="5">(C35+C34)/20</f>
        <v>0</v>
      </c>
      <c r="D36" s="53">
        <f t="shared" si="5"/>
        <v>0</v>
      </c>
      <c r="E36" s="53">
        <f t="shared" si="5"/>
        <v>0</v>
      </c>
      <c r="F36" s="53">
        <f t="shared" si="5"/>
        <v>0</v>
      </c>
      <c r="G36" s="53">
        <f t="shared" si="5"/>
        <v>0</v>
      </c>
      <c r="H36" s="53">
        <f t="shared" si="5"/>
        <v>0</v>
      </c>
      <c r="I36" s="53">
        <f t="shared" si="5"/>
        <v>0</v>
      </c>
      <c r="J36" s="53">
        <f t="shared" si="5"/>
        <v>0</v>
      </c>
      <c r="K36" s="53">
        <f t="shared" si="5"/>
        <v>0</v>
      </c>
      <c r="L36" s="53">
        <f t="shared" si="5"/>
        <v>0</v>
      </c>
      <c r="M36" s="53">
        <f t="shared" si="5"/>
        <v>0</v>
      </c>
      <c r="N36" s="53">
        <f t="shared" si="5"/>
        <v>0</v>
      </c>
      <c r="O36" s="53">
        <f t="shared" si="5"/>
        <v>0</v>
      </c>
      <c r="P36" s="53">
        <f t="shared" si="5"/>
        <v>0</v>
      </c>
      <c r="Q36" s="53">
        <f t="shared" si="5"/>
        <v>0</v>
      </c>
      <c r="R36" s="53">
        <f t="shared" si="5"/>
        <v>0</v>
      </c>
      <c r="S36" s="53">
        <f t="shared" si="5"/>
        <v>0</v>
      </c>
      <c r="T36" s="53">
        <f t="shared" si="5"/>
        <v>0</v>
      </c>
      <c r="U36" s="53">
        <f t="shared" si="5"/>
        <v>0</v>
      </c>
      <c r="V36" s="53">
        <f t="shared" si="5"/>
        <v>0</v>
      </c>
      <c r="W36" s="53">
        <f t="shared" si="5"/>
        <v>0</v>
      </c>
      <c r="X36" s="53">
        <f t="shared" si="5"/>
        <v>0</v>
      </c>
      <c r="Y36" s="53">
        <f t="shared" si="5"/>
        <v>0</v>
      </c>
      <c r="Z36" s="53">
        <f t="shared" si="5"/>
        <v>0</v>
      </c>
      <c r="AA36" s="53">
        <f t="shared" si="5"/>
        <v>0</v>
      </c>
      <c r="AB36" s="53">
        <f t="shared" si="5"/>
        <v>0</v>
      </c>
      <c r="AC36" s="53">
        <f t="shared" si="5"/>
        <v>0</v>
      </c>
      <c r="AD36" s="53">
        <f t="shared" si="5"/>
        <v>0</v>
      </c>
      <c r="AE36" s="53">
        <f t="shared" si="5"/>
        <v>0</v>
      </c>
      <c r="AF36" s="53">
        <f t="shared" si="5"/>
        <v>0</v>
      </c>
    </row>
  </sheetData>
  <mergeCells count="27">
    <mergeCell ref="AB3:AD3"/>
    <mergeCell ref="AB4:AD4"/>
    <mergeCell ref="B3:H4"/>
    <mergeCell ref="J3:N3"/>
    <mergeCell ref="P3:T3"/>
    <mergeCell ref="V3:Z3"/>
    <mergeCell ref="J4:N4"/>
    <mergeCell ref="P4:T4"/>
    <mergeCell ref="V4:Z4"/>
    <mergeCell ref="B7:B9"/>
    <mergeCell ref="C7:I7"/>
    <mergeCell ref="J7:P7"/>
    <mergeCell ref="Q7:W7"/>
    <mergeCell ref="X7:AD7"/>
    <mergeCell ref="AF7:AJ8"/>
    <mergeCell ref="AH9:AJ9"/>
    <mergeCell ref="AH17:AJ17"/>
    <mergeCell ref="AH18:AJ18"/>
    <mergeCell ref="AH19:AJ19"/>
    <mergeCell ref="C33:AD33"/>
    <mergeCell ref="AH10:AJ10"/>
    <mergeCell ref="AH11:AJ11"/>
    <mergeCell ref="AH12:AJ12"/>
    <mergeCell ref="AH13:AJ13"/>
    <mergeCell ref="AH14:AJ14"/>
    <mergeCell ref="AH15:AJ15"/>
    <mergeCell ref="AH16:AJ16"/>
  </mergeCells>
  <dataValidations>
    <dataValidation type="list" allowBlank="1" showErrorMessage="1" sqref="C34:AD35">
      <formula1>"10,9,8,7,6,5,4,3,2,1,0"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23.25"/>
    <col customWidth="1" min="3" max="34" width="4.13"/>
    <col customWidth="1" min="35" max="35" width="10.0"/>
    <col customWidth="1" min="36" max="36" width="8.0"/>
    <col customWidth="1" min="37" max="40" width="4.13"/>
  </cols>
  <sheetData>
    <row r="2">
      <c r="B2" s="64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6"/>
      <c r="AN2" s="9"/>
    </row>
    <row r="3">
      <c r="B3" s="10" t="s">
        <v>59</v>
      </c>
      <c r="I3" s="67"/>
      <c r="J3" s="68" t="s">
        <v>70</v>
      </c>
      <c r="O3" s="69"/>
      <c r="P3" s="68" t="s">
        <v>10</v>
      </c>
      <c r="U3" s="69"/>
      <c r="V3" s="68" t="s">
        <v>11</v>
      </c>
      <c r="AA3" s="69"/>
      <c r="AB3" s="68" t="s">
        <v>12</v>
      </c>
      <c r="AE3" s="12"/>
      <c r="AF3" s="12"/>
      <c r="AG3" s="12"/>
      <c r="AH3" s="70"/>
      <c r="AI3" s="71"/>
      <c r="AJ3" s="71"/>
      <c r="AK3" s="71"/>
      <c r="AL3" s="71"/>
      <c r="AM3" s="72"/>
      <c r="AN3" s="9"/>
    </row>
    <row r="4">
      <c r="B4" s="17"/>
      <c r="I4" s="67"/>
      <c r="J4" s="71">
        <f>COUNTA($B$10:$B$19)</f>
        <v>0</v>
      </c>
      <c r="O4" s="70"/>
      <c r="P4" s="71">
        <f>COUNTIF($C$10:$AF$19, TRUE)</f>
        <v>0</v>
      </c>
      <c r="U4" s="70"/>
      <c r="V4" s="73" t="str">
        <f>IFERROR(__xludf.DUMMYFUNCTION("SPARKLINE(AB4, {""charttype"",""bar"";""max"",1;""color1"",""#90EE90""})"),"")</f>
        <v/>
      </c>
      <c r="AA4" s="70"/>
      <c r="AB4" s="74">
        <f>(P4)/(COUNTA($C$10:$C$19)*COUNTA($C$10:$AG$10))</f>
        <v>0</v>
      </c>
      <c r="AE4" s="74"/>
      <c r="AF4" s="74"/>
      <c r="AG4" s="74"/>
      <c r="AH4" s="70"/>
      <c r="AI4" s="71"/>
      <c r="AJ4" s="71"/>
      <c r="AK4" s="71"/>
      <c r="AL4" s="71"/>
      <c r="AM4" s="72"/>
      <c r="AN4" s="9"/>
    </row>
    <row r="5">
      <c r="B5" s="75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7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8"/>
      <c r="AN5" s="9"/>
    </row>
    <row r="6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>
      <c r="B7" s="24" t="s">
        <v>13</v>
      </c>
      <c r="C7" s="25" t="s">
        <v>14</v>
      </c>
      <c r="D7" s="26"/>
      <c r="E7" s="26"/>
      <c r="F7" s="26"/>
      <c r="G7" s="26"/>
      <c r="H7" s="26"/>
      <c r="I7" s="27"/>
      <c r="J7" s="28" t="s">
        <v>15</v>
      </c>
      <c r="K7" s="26"/>
      <c r="L7" s="26"/>
      <c r="M7" s="26"/>
      <c r="N7" s="26"/>
      <c r="O7" s="26"/>
      <c r="P7" s="27"/>
      <c r="Q7" s="25" t="s">
        <v>16</v>
      </c>
      <c r="R7" s="26"/>
      <c r="S7" s="26"/>
      <c r="T7" s="26"/>
      <c r="U7" s="26"/>
      <c r="V7" s="26"/>
      <c r="W7" s="27"/>
      <c r="X7" s="28" t="s">
        <v>17</v>
      </c>
      <c r="Y7" s="26"/>
      <c r="Z7" s="26"/>
      <c r="AA7" s="26"/>
      <c r="AB7" s="26"/>
      <c r="AC7" s="26"/>
      <c r="AD7" s="27"/>
      <c r="AE7" s="29"/>
      <c r="AF7" s="27"/>
      <c r="AG7" s="79"/>
      <c r="AH7" s="9"/>
      <c r="AI7" s="30" t="s">
        <v>18</v>
      </c>
      <c r="AJ7" s="31"/>
      <c r="AK7" s="31"/>
      <c r="AL7" s="31"/>
      <c r="AM7" s="32"/>
    </row>
    <row r="8">
      <c r="B8" s="33"/>
      <c r="C8" s="34" t="s">
        <v>20</v>
      </c>
      <c r="D8" s="34" t="s">
        <v>21</v>
      </c>
      <c r="E8" s="34" t="s">
        <v>22</v>
      </c>
      <c r="F8" s="34" t="s">
        <v>23</v>
      </c>
      <c r="G8" s="34" t="s">
        <v>24</v>
      </c>
      <c r="H8" s="34" t="s">
        <v>25</v>
      </c>
      <c r="I8" s="34" t="s">
        <v>19</v>
      </c>
      <c r="J8" s="35" t="s">
        <v>20</v>
      </c>
      <c r="K8" s="35" t="s">
        <v>21</v>
      </c>
      <c r="L8" s="35" t="s">
        <v>22</v>
      </c>
      <c r="M8" s="35" t="s">
        <v>23</v>
      </c>
      <c r="N8" s="35" t="s">
        <v>24</v>
      </c>
      <c r="O8" s="35" t="s">
        <v>25</v>
      </c>
      <c r="P8" s="35" t="s">
        <v>19</v>
      </c>
      <c r="Q8" s="34" t="s">
        <v>20</v>
      </c>
      <c r="R8" s="34" t="s">
        <v>21</v>
      </c>
      <c r="S8" s="34" t="s">
        <v>22</v>
      </c>
      <c r="T8" s="34" t="s">
        <v>23</v>
      </c>
      <c r="U8" s="34" t="s">
        <v>24</v>
      </c>
      <c r="V8" s="34" t="s">
        <v>25</v>
      </c>
      <c r="W8" s="34" t="s">
        <v>19</v>
      </c>
      <c r="X8" s="35" t="s">
        <v>20</v>
      </c>
      <c r="Y8" s="35" t="s">
        <v>21</v>
      </c>
      <c r="Z8" s="35" t="s">
        <v>22</v>
      </c>
      <c r="AA8" s="35" t="s">
        <v>23</v>
      </c>
      <c r="AB8" s="35" t="s">
        <v>24</v>
      </c>
      <c r="AC8" s="35" t="s">
        <v>25</v>
      </c>
      <c r="AD8" s="35" t="s">
        <v>19</v>
      </c>
      <c r="AE8" s="80" t="s">
        <v>20</v>
      </c>
      <c r="AF8" s="80" t="s">
        <v>21</v>
      </c>
      <c r="AG8" s="34" t="s">
        <v>22</v>
      </c>
      <c r="AH8" s="9"/>
      <c r="AI8" s="36"/>
      <c r="AJ8" s="37"/>
      <c r="AK8" s="37"/>
      <c r="AL8" s="37"/>
      <c r="AM8" s="38"/>
    </row>
    <row r="9">
      <c r="B9" s="39"/>
      <c r="C9" s="34">
        <v>1.0</v>
      </c>
      <c r="D9" s="34">
        <v>2.0</v>
      </c>
      <c r="E9" s="34">
        <v>3.0</v>
      </c>
      <c r="F9" s="34">
        <v>4.0</v>
      </c>
      <c r="G9" s="34">
        <v>5.0</v>
      </c>
      <c r="H9" s="34">
        <v>6.0</v>
      </c>
      <c r="I9" s="34">
        <v>7.0</v>
      </c>
      <c r="J9" s="35">
        <v>8.0</v>
      </c>
      <c r="K9" s="35">
        <v>9.0</v>
      </c>
      <c r="L9" s="35">
        <v>10.0</v>
      </c>
      <c r="M9" s="35">
        <v>11.0</v>
      </c>
      <c r="N9" s="35">
        <v>12.0</v>
      </c>
      <c r="O9" s="35">
        <v>13.0</v>
      </c>
      <c r="P9" s="35">
        <v>14.0</v>
      </c>
      <c r="Q9" s="34">
        <v>15.0</v>
      </c>
      <c r="R9" s="34">
        <v>16.0</v>
      </c>
      <c r="S9" s="34">
        <v>17.0</v>
      </c>
      <c r="T9" s="34">
        <v>18.0</v>
      </c>
      <c r="U9" s="34">
        <v>19.0</v>
      </c>
      <c r="V9" s="34">
        <v>20.0</v>
      </c>
      <c r="W9" s="34">
        <v>21.0</v>
      </c>
      <c r="X9" s="35">
        <v>22.0</v>
      </c>
      <c r="Y9" s="35">
        <v>23.0</v>
      </c>
      <c r="Z9" s="35">
        <v>24.0</v>
      </c>
      <c r="AA9" s="35">
        <v>25.0</v>
      </c>
      <c r="AB9" s="35">
        <v>26.0</v>
      </c>
      <c r="AC9" s="35">
        <v>27.0</v>
      </c>
      <c r="AD9" s="35">
        <v>28.0</v>
      </c>
      <c r="AE9" s="34">
        <v>29.0</v>
      </c>
      <c r="AF9" s="25">
        <v>30.0</v>
      </c>
      <c r="AG9" s="81">
        <v>31.0</v>
      </c>
      <c r="AH9" s="9"/>
      <c r="AI9" s="40" t="s">
        <v>26</v>
      </c>
      <c r="AJ9" s="40" t="s">
        <v>27</v>
      </c>
      <c r="AK9" s="41" t="s">
        <v>11</v>
      </c>
      <c r="AL9" s="26"/>
      <c r="AM9" s="27"/>
    </row>
    <row r="10">
      <c r="B10" s="42"/>
      <c r="C10" s="82" t="b">
        <v>0</v>
      </c>
      <c r="D10" s="82" t="b">
        <v>0</v>
      </c>
      <c r="E10" s="82" t="b">
        <v>0</v>
      </c>
      <c r="F10" s="82" t="b">
        <v>0</v>
      </c>
      <c r="G10" s="82" t="b">
        <v>0</v>
      </c>
      <c r="H10" s="82" t="b">
        <v>0</v>
      </c>
      <c r="I10" s="82" t="b">
        <v>0</v>
      </c>
      <c r="J10" s="44" t="b">
        <v>0</v>
      </c>
      <c r="K10" s="44" t="b">
        <v>0</v>
      </c>
      <c r="L10" s="44" t="b">
        <v>0</v>
      </c>
      <c r="M10" s="44" t="b">
        <v>0</v>
      </c>
      <c r="N10" s="44" t="b">
        <v>0</v>
      </c>
      <c r="O10" s="44" t="b">
        <v>0</v>
      </c>
      <c r="P10" s="44" t="b">
        <v>0</v>
      </c>
      <c r="Q10" s="82" t="b">
        <v>0</v>
      </c>
      <c r="R10" s="82" t="b">
        <v>0</v>
      </c>
      <c r="S10" s="82" t="b">
        <v>0</v>
      </c>
      <c r="T10" s="82" t="b">
        <v>0</v>
      </c>
      <c r="U10" s="82" t="b">
        <v>0</v>
      </c>
      <c r="V10" s="82" t="b">
        <v>0</v>
      </c>
      <c r="W10" s="82" t="b">
        <v>0</v>
      </c>
      <c r="X10" s="44" t="b">
        <v>0</v>
      </c>
      <c r="Y10" s="44" t="b">
        <v>0</v>
      </c>
      <c r="Z10" s="44" t="b">
        <v>0</v>
      </c>
      <c r="AA10" s="44" t="b">
        <v>0</v>
      </c>
      <c r="AB10" s="44" t="b">
        <v>0</v>
      </c>
      <c r="AC10" s="44" t="b">
        <v>0</v>
      </c>
      <c r="AD10" s="44" t="b">
        <v>0</v>
      </c>
      <c r="AE10" s="43" t="b">
        <v>0</v>
      </c>
      <c r="AF10" s="43" t="b">
        <v>0</v>
      </c>
      <c r="AG10" s="43" t="b">
        <v>0</v>
      </c>
      <c r="AH10" s="9"/>
      <c r="AI10" s="45">
        <f t="shared" ref="AI10:AI19" si="1">31</f>
        <v>31</v>
      </c>
      <c r="AJ10" s="46">
        <f t="shared" ref="AJ10:AJ19" si="2">COUNTIF(C10:AG10, TRUE)</f>
        <v>0</v>
      </c>
      <c r="AK10" s="29" t="str">
        <f>IFERROR(__xludf.DUMMYFUNCTION("SPARKLINE(AJ10/AI10, {""charttype"",""bar"";""max"",1;""color1"",""#90EE90""})"),"")</f>
        <v/>
      </c>
      <c r="AL10" s="26"/>
      <c r="AM10" s="27"/>
      <c r="AN10" s="9"/>
    </row>
    <row r="11">
      <c r="B11" s="42"/>
      <c r="C11" s="82" t="b">
        <v>0</v>
      </c>
      <c r="D11" s="82" t="b">
        <v>0</v>
      </c>
      <c r="E11" s="82" t="b">
        <v>0</v>
      </c>
      <c r="F11" s="82" t="b">
        <v>0</v>
      </c>
      <c r="G11" s="82" t="b">
        <v>0</v>
      </c>
      <c r="H11" s="82" t="b">
        <v>0</v>
      </c>
      <c r="I11" s="82" t="b">
        <v>0</v>
      </c>
      <c r="J11" s="44" t="b">
        <v>0</v>
      </c>
      <c r="K11" s="44" t="b">
        <v>0</v>
      </c>
      <c r="L11" s="44" t="b">
        <v>0</v>
      </c>
      <c r="M11" s="44" t="b">
        <v>0</v>
      </c>
      <c r="N11" s="44" t="b">
        <v>0</v>
      </c>
      <c r="O11" s="44" t="b">
        <v>0</v>
      </c>
      <c r="P11" s="44" t="b">
        <v>0</v>
      </c>
      <c r="Q11" s="82" t="b">
        <v>0</v>
      </c>
      <c r="R11" s="82" t="b">
        <v>0</v>
      </c>
      <c r="S11" s="82" t="b">
        <v>0</v>
      </c>
      <c r="T11" s="82" t="b">
        <v>0</v>
      </c>
      <c r="U11" s="82" t="b">
        <v>0</v>
      </c>
      <c r="V11" s="82" t="b">
        <v>0</v>
      </c>
      <c r="W11" s="82" t="b">
        <v>0</v>
      </c>
      <c r="X11" s="44" t="b">
        <v>0</v>
      </c>
      <c r="Y11" s="44" t="b">
        <v>0</v>
      </c>
      <c r="Z11" s="44" t="b">
        <v>0</v>
      </c>
      <c r="AA11" s="44" t="b">
        <v>0</v>
      </c>
      <c r="AB11" s="44" t="b">
        <v>0</v>
      </c>
      <c r="AC11" s="44" t="b">
        <v>0</v>
      </c>
      <c r="AD11" s="44" t="b">
        <v>0</v>
      </c>
      <c r="AE11" s="43" t="b">
        <v>0</v>
      </c>
      <c r="AF11" s="43" t="b">
        <v>0</v>
      </c>
      <c r="AG11" s="43" t="b">
        <v>0</v>
      </c>
      <c r="AH11" s="9"/>
      <c r="AI11" s="45">
        <f t="shared" si="1"/>
        <v>31</v>
      </c>
      <c r="AJ11" s="46">
        <f t="shared" si="2"/>
        <v>0</v>
      </c>
      <c r="AK11" s="29" t="str">
        <f>IFERROR(__xludf.DUMMYFUNCTION("SPARKLINE(AJ11/AI11, {""charttype"",""bar"";""max"",1;""color1"",""#90EE90""})"),"")</f>
        <v/>
      </c>
      <c r="AL11" s="26"/>
      <c r="AM11" s="27"/>
      <c r="AN11" s="9"/>
    </row>
    <row r="12">
      <c r="B12" s="42"/>
      <c r="C12" s="82" t="b">
        <v>0</v>
      </c>
      <c r="D12" s="82" t="b">
        <v>0</v>
      </c>
      <c r="E12" s="82" t="b">
        <v>0</v>
      </c>
      <c r="F12" s="82" t="b">
        <v>0</v>
      </c>
      <c r="G12" s="82" t="b">
        <v>0</v>
      </c>
      <c r="H12" s="82" t="b">
        <v>0</v>
      </c>
      <c r="I12" s="82" t="b">
        <v>0</v>
      </c>
      <c r="J12" s="44" t="b">
        <v>0</v>
      </c>
      <c r="K12" s="44" t="b">
        <v>0</v>
      </c>
      <c r="L12" s="44" t="b">
        <v>0</v>
      </c>
      <c r="M12" s="44" t="b">
        <v>0</v>
      </c>
      <c r="N12" s="44" t="b">
        <v>0</v>
      </c>
      <c r="O12" s="44" t="b">
        <v>0</v>
      </c>
      <c r="P12" s="44" t="b">
        <v>0</v>
      </c>
      <c r="Q12" s="82" t="b">
        <v>0</v>
      </c>
      <c r="R12" s="82" t="b">
        <v>0</v>
      </c>
      <c r="S12" s="82" t="b">
        <v>0</v>
      </c>
      <c r="T12" s="82" t="b">
        <v>0</v>
      </c>
      <c r="U12" s="82" t="b">
        <v>0</v>
      </c>
      <c r="V12" s="82" t="b">
        <v>0</v>
      </c>
      <c r="W12" s="82" t="b">
        <v>0</v>
      </c>
      <c r="X12" s="44" t="b">
        <v>0</v>
      </c>
      <c r="Y12" s="44" t="b">
        <v>0</v>
      </c>
      <c r="Z12" s="44" t="b">
        <v>0</v>
      </c>
      <c r="AA12" s="44" t="b">
        <v>0</v>
      </c>
      <c r="AB12" s="44" t="b">
        <v>0</v>
      </c>
      <c r="AC12" s="44" t="b">
        <v>0</v>
      </c>
      <c r="AD12" s="44" t="b">
        <v>0</v>
      </c>
      <c r="AE12" s="43" t="b">
        <v>0</v>
      </c>
      <c r="AF12" s="43" t="b">
        <v>0</v>
      </c>
      <c r="AG12" s="43" t="b">
        <v>0</v>
      </c>
      <c r="AH12" s="9"/>
      <c r="AI12" s="45">
        <f t="shared" si="1"/>
        <v>31</v>
      </c>
      <c r="AJ12" s="46">
        <f t="shared" si="2"/>
        <v>0</v>
      </c>
      <c r="AK12" s="29" t="str">
        <f>IFERROR(__xludf.DUMMYFUNCTION("SPARKLINE(AJ12/AI12, {""charttype"",""bar"";""max"",1;""color1"",""#90EE90""})"),"")</f>
        <v/>
      </c>
      <c r="AL12" s="26"/>
      <c r="AM12" s="27"/>
      <c r="AN12" s="9"/>
    </row>
    <row r="13">
      <c r="B13" s="42"/>
      <c r="C13" s="82" t="b">
        <v>0</v>
      </c>
      <c r="D13" s="82" t="b">
        <v>0</v>
      </c>
      <c r="E13" s="82" t="b">
        <v>0</v>
      </c>
      <c r="F13" s="82" t="b">
        <v>0</v>
      </c>
      <c r="G13" s="82" t="b">
        <v>0</v>
      </c>
      <c r="H13" s="82" t="b">
        <v>0</v>
      </c>
      <c r="I13" s="82" t="b">
        <v>0</v>
      </c>
      <c r="J13" s="44" t="b">
        <v>0</v>
      </c>
      <c r="K13" s="44" t="b">
        <v>0</v>
      </c>
      <c r="L13" s="44" t="b">
        <v>0</v>
      </c>
      <c r="M13" s="44" t="b">
        <v>0</v>
      </c>
      <c r="N13" s="44" t="b">
        <v>0</v>
      </c>
      <c r="O13" s="44" t="b">
        <v>0</v>
      </c>
      <c r="P13" s="44" t="b">
        <v>0</v>
      </c>
      <c r="Q13" s="82" t="b">
        <v>0</v>
      </c>
      <c r="R13" s="82" t="b">
        <v>0</v>
      </c>
      <c r="S13" s="82" t="b">
        <v>0</v>
      </c>
      <c r="T13" s="82" t="b">
        <v>0</v>
      </c>
      <c r="U13" s="82" t="b">
        <v>0</v>
      </c>
      <c r="V13" s="82" t="b">
        <v>0</v>
      </c>
      <c r="W13" s="82" t="b">
        <v>0</v>
      </c>
      <c r="X13" s="44" t="b">
        <v>0</v>
      </c>
      <c r="Y13" s="44" t="b">
        <v>0</v>
      </c>
      <c r="Z13" s="44" t="b">
        <v>0</v>
      </c>
      <c r="AA13" s="44" t="b">
        <v>0</v>
      </c>
      <c r="AB13" s="44" t="b">
        <v>0</v>
      </c>
      <c r="AC13" s="44" t="b">
        <v>0</v>
      </c>
      <c r="AD13" s="44" t="b">
        <v>0</v>
      </c>
      <c r="AE13" s="43" t="b">
        <v>0</v>
      </c>
      <c r="AF13" s="43" t="b">
        <v>0</v>
      </c>
      <c r="AG13" s="43" t="b">
        <v>0</v>
      </c>
      <c r="AH13" s="9"/>
      <c r="AI13" s="45">
        <f t="shared" si="1"/>
        <v>31</v>
      </c>
      <c r="AJ13" s="46">
        <f t="shared" si="2"/>
        <v>0</v>
      </c>
      <c r="AK13" s="29" t="str">
        <f>IFERROR(__xludf.DUMMYFUNCTION("SPARKLINE(AJ13/AI13, {""charttype"",""bar"";""max"",1;""color1"",""#90EE90""})"),"")</f>
        <v/>
      </c>
      <c r="AL13" s="26"/>
      <c r="AM13" s="27"/>
      <c r="AN13" s="9"/>
    </row>
    <row r="14">
      <c r="B14" s="42"/>
      <c r="C14" s="82" t="b">
        <v>0</v>
      </c>
      <c r="D14" s="82" t="b">
        <v>0</v>
      </c>
      <c r="E14" s="82" t="b">
        <v>0</v>
      </c>
      <c r="F14" s="82" t="b">
        <v>0</v>
      </c>
      <c r="G14" s="82" t="b">
        <v>0</v>
      </c>
      <c r="H14" s="82" t="b">
        <v>0</v>
      </c>
      <c r="I14" s="82" t="b">
        <v>0</v>
      </c>
      <c r="J14" s="44" t="b">
        <v>0</v>
      </c>
      <c r="K14" s="44" t="b">
        <v>0</v>
      </c>
      <c r="L14" s="44" t="b">
        <v>0</v>
      </c>
      <c r="M14" s="44" t="b">
        <v>0</v>
      </c>
      <c r="N14" s="44" t="b">
        <v>0</v>
      </c>
      <c r="O14" s="44" t="b">
        <v>0</v>
      </c>
      <c r="P14" s="44" t="b">
        <v>0</v>
      </c>
      <c r="Q14" s="82" t="b">
        <v>0</v>
      </c>
      <c r="R14" s="82" t="b">
        <v>0</v>
      </c>
      <c r="S14" s="82" t="b">
        <v>0</v>
      </c>
      <c r="T14" s="82" t="b">
        <v>0</v>
      </c>
      <c r="U14" s="82" t="b">
        <v>0</v>
      </c>
      <c r="V14" s="82" t="b">
        <v>0</v>
      </c>
      <c r="W14" s="82" t="b">
        <v>0</v>
      </c>
      <c r="X14" s="44" t="b">
        <v>0</v>
      </c>
      <c r="Y14" s="44" t="b">
        <v>0</v>
      </c>
      <c r="Z14" s="44" t="b">
        <v>0</v>
      </c>
      <c r="AA14" s="44" t="b">
        <v>0</v>
      </c>
      <c r="AB14" s="44" t="b">
        <v>0</v>
      </c>
      <c r="AC14" s="44" t="b">
        <v>0</v>
      </c>
      <c r="AD14" s="44" t="b">
        <v>0</v>
      </c>
      <c r="AE14" s="43" t="b">
        <v>0</v>
      </c>
      <c r="AF14" s="43" t="b">
        <v>0</v>
      </c>
      <c r="AG14" s="43" t="b">
        <v>0</v>
      </c>
      <c r="AH14" s="9"/>
      <c r="AI14" s="45">
        <f t="shared" si="1"/>
        <v>31</v>
      </c>
      <c r="AJ14" s="46">
        <f t="shared" si="2"/>
        <v>0</v>
      </c>
      <c r="AK14" s="29" t="str">
        <f>IFERROR(__xludf.DUMMYFUNCTION("SPARKLINE(AJ14/AI14, {""charttype"",""bar"";""max"",1;""color1"",""#90EE90""})"),"")</f>
        <v/>
      </c>
      <c r="AL14" s="26"/>
      <c r="AM14" s="27"/>
      <c r="AN14" s="9"/>
    </row>
    <row r="15">
      <c r="B15" s="42"/>
      <c r="C15" s="82" t="b">
        <v>0</v>
      </c>
      <c r="D15" s="82" t="b">
        <v>0</v>
      </c>
      <c r="E15" s="82" t="b">
        <v>0</v>
      </c>
      <c r="F15" s="82" t="b">
        <v>0</v>
      </c>
      <c r="G15" s="82" t="b">
        <v>0</v>
      </c>
      <c r="H15" s="82" t="b">
        <v>0</v>
      </c>
      <c r="I15" s="82" t="b">
        <v>0</v>
      </c>
      <c r="J15" s="44" t="b">
        <v>0</v>
      </c>
      <c r="K15" s="44" t="b">
        <v>0</v>
      </c>
      <c r="L15" s="44" t="b">
        <v>0</v>
      </c>
      <c r="M15" s="44" t="b">
        <v>0</v>
      </c>
      <c r="N15" s="44" t="b">
        <v>0</v>
      </c>
      <c r="O15" s="44" t="b">
        <v>0</v>
      </c>
      <c r="P15" s="44" t="b">
        <v>0</v>
      </c>
      <c r="Q15" s="82" t="b">
        <v>0</v>
      </c>
      <c r="R15" s="82" t="b">
        <v>0</v>
      </c>
      <c r="S15" s="82" t="b">
        <v>0</v>
      </c>
      <c r="T15" s="82" t="b">
        <v>0</v>
      </c>
      <c r="U15" s="82" t="b">
        <v>0</v>
      </c>
      <c r="V15" s="82" t="b">
        <v>0</v>
      </c>
      <c r="W15" s="82" t="b">
        <v>0</v>
      </c>
      <c r="X15" s="44" t="b">
        <v>0</v>
      </c>
      <c r="Y15" s="44" t="b">
        <v>0</v>
      </c>
      <c r="Z15" s="44" t="b">
        <v>0</v>
      </c>
      <c r="AA15" s="44" t="b">
        <v>0</v>
      </c>
      <c r="AB15" s="44" t="b">
        <v>0</v>
      </c>
      <c r="AC15" s="44" t="b">
        <v>0</v>
      </c>
      <c r="AD15" s="44" t="b">
        <v>0</v>
      </c>
      <c r="AE15" s="43" t="b">
        <v>0</v>
      </c>
      <c r="AF15" s="43" t="b">
        <v>0</v>
      </c>
      <c r="AG15" s="43" t="b">
        <v>0</v>
      </c>
      <c r="AH15" s="9"/>
      <c r="AI15" s="45">
        <f t="shared" si="1"/>
        <v>31</v>
      </c>
      <c r="AJ15" s="46">
        <f t="shared" si="2"/>
        <v>0</v>
      </c>
      <c r="AK15" s="29" t="str">
        <f>IFERROR(__xludf.DUMMYFUNCTION("SPARKLINE(AJ15/AI15, {""charttype"",""bar"";""max"",1;""color1"",""#90EE90""})"),"")</f>
        <v/>
      </c>
      <c r="AL15" s="26"/>
      <c r="AM15" s="27"/>
      <c r="AN15" s="9"/>
    </row>
    <row r="16">
      <c r="B16" s="42"/>
      <c r="C16" s="82" t="b">
        <v>0</v>
      </c>
      <c r="D16" s="82" t="b">
        <v>0</v>
      </c>
      <c r="E16" s="82" t="b">
        <v>0</v>
      </c>
      <c r="F16" s="82" t="b">
        <v>0</v>
      </c>
      <c r="G16" s="82" t="b">
        <v>0</v>
      </c>
      <c r="H16" s="82" t="b">
        <v>0</v>
      </c>
      <c r="I16" s="82" t="b">
        <v>0</v>
      </c>
      <c r="J16" s="44" t="b">
        <v>0</v>
      </c>
      <c r="K16" s="44" t="b">
        <v>0</v>
      </c>
      <c r="L16" s="44" t="b">
        <v>0</v>
      </c>
      <c r="M16" s="44" t="b">
        <v>0</v>
      </c>
      <c r="N16" s="44" t="b">
        <v>0</v>
      </c>
      <c r="O16" s="44" t="b">
        <v>0</v>
      </c>
      <c r="P16" s="44" t="b">
        <v>0</v>
      </c>
      <c r="Q16" s="82" t="b">
        <v>0</v>
      </c>
      <c r="R16" s="82" t="b">
        <v>0</v>
      </c>
      <c r="S16" s="82" t="b">
        <v>0</v>
      </c>
      <c r="T16" s="82" t="b">
        <v>0</v>
      </c>
      <c r="U16" s="82" t="b">
        <v>0</v>
      </c>
      <c r="V16" s="82" t="b">
        <v>0</v>
      </c>
      <c r="W16" s="82" t="b">
        <v>0</v>
      </c>
      <c r="X16" s="44" t="b">
        <v>0</v>
      </c>
      <c r="Y16" s="44" t="b">
        <v>0</v>
      </c>
      <c r="Z16" s="44" t="b">
        <v>0</v>
      </c>
      <c r="AA16" s="44" t="b">
        <v>0</v>
      </c>
      <c r="AB16" s="44" t="b">
        <v>0</v>
      </c>
      <c r="AC16" s="44" t="b">
        <v>0</v>
      </c>
      <c r="AD16" s="44" t="b">
        <v>0</v>
      </c>
      <c r="AE16" s="43" t="b">
        <v>0</v>
      </c>
      <c r="AF16" s="43" t="b">
        <v>0</v>
      </c>
      <c r="AG16" s="43" t="b">
        <v>0</v>
      </c>
      <c r="AH16" s="9"/>
      <c r="AI16" s="45">
        <f t="shared" si="1"/>
        <v>31</v>
      </c>
      <c r="AJ16" s="46">
        <f t="shared" si="2"/>
        <v>0</v>
      </c>
      <c r="AK16" s="29" t="str">
        <f>IFERROR(__xludf.DUMMYFUNCTION("SPARKLINE(AJ16/AI16, {""charttype"",""bar"";""max"",1;""color1"",""#90EE90""})"),"")</f>
        <v/>
      </c>
      <c r="AL16" s="26"/>
      <c r="AM16" s="27"/>
      <c r="AN16" s="9"/>
    </row>
    <row r="17">
      <c r="B17" s="42"/>
      <c r="C17" s="82" t="b">
        <v>0</v>
      </c>
      <c r="D17" s="82" t="b">
        <v>0</v>
      </c>
      <c r="E17" s="82" t="b">
        <v>0</v>
      </c>
      <c r="F17" s="82" t="b">
        <v>0</v>
      </c>
      <c r="G17" s="82" t="b">
        <v>0</v>
      </c>
      <c r="H17" s="82" t="b">
        <v>0</v>
      </c>
      <c r="I17" s="82" t="b">
        <v>0</v>
      </c>
      <c r="J17" s="44" t="b">
        <v>0</v>
      </c>
      <c r="K17" s="44" t="b">
        <v>0</v>
      </c>
      <c r="L17" s="44" t="b">
        <v>0</v>
      </c>
      <c r="M17" s="44" t="b">
        <v>0</v>
      </c>
      <c r="N17" s="44" t="b">
        <v>0</v>
      </c>
      <c r="O17" s="44" t="b">
        <v>0</v>
      </c>
      <c r="P17" s="44" t="b">
        <v>0</v>
      </c>
      <c r="Q17" s="82" t="b">
        <v>0</v>
      </c>
      <c r="R17" s="82" t="b">
        <v>0</v>
      </c>
      <c r="S17" s="82" t="b">
        <v>0</v>
      </c>
      <c r="T17" s="82" t="b">
        <v>0</v>
      </c>
      <c r="U17" s="82" t="b">
        <v>0</v>
      </c>
      <c r="V17" s="82" t="b">
        <v>0</v>
      </c>
      <c r="W17" s="82" t="b">
        <v>0</v>
      </c>
      <c r="X17" s="44" t="b">
        <v>0</v>
      </c>
      <c r="Y17" s="44" t="b">
        <v>0</v>
      </c>
      <c r="Z17" s="44" t="b">
        <v>0</v>
      </c>
      <c r="AA17" s="44" t="b">
        <v>0</v>
      </c>
      <c r="AB17" s="44" t="b">
        <v>0</v>
      </c>
      <c r="AC17" s="44" t="b">
        <v>0</v>
      </c>
      <c r="AD17" s="44" t="b">
        <v>0</v>
      </c>
      <c r="AE17" s="43" t="b">
        <v>0</v>
      </c>
      <c r="AF17" s="43" t="b">
        <v>0</v>
      </c>
      <c r="AG17" s="43" t="b">
        <v>0</v>
      </c>
      <c r="AH17" s="9"/>
      <c r="AI17" s="45">
        <f t="shared" si="1"/>
        <v>31</v>
      </c>
      <c r="AJ17" s="46">
        <f t="shared" si="2"/>
        <v>0</v>
      </c>
      <c r="AK17" s="29" t="str">
        <f>IFERROR(__xludf.DUMMYFUNCTION("SPARKLINE(AJ17/AI17, {""charttype"",""bar"";""max"",1;""color1"",""#90EE90""})"),"")</f>
        <v/>
      </c>
      <c r="AL17" s="26"/>
      <c r="AM17" s="27"/>
      <c r="AN17" s="9"/>
    </row>
    <row r="18">
      <c r="B18" s="42"/>
      <c r="C18" s="82" t="b">
        <v>0</v>
      </c>
      <c r="D18" s="82" t="b">
        <v>0</v>
      </c>
      <c r="E18" s="82" t="b">
        <v>0</v>
      </c>
      <c r="F18" s="82" t="b">
        <v>0</v>
      </c>
      <c r="G18" s="82" t="b">
        <v>0</v>
      </c>
      <c r="H18" s="82" t="b">
        <v>0</v>
      </c>
      <c r="I18" s="82" t="b">
        <v>0</v>
      </c>
      <c r="J18" s="44" t="b">
        <v>0</v>
      </c>
      <c r="K18" s="44" t="b">
        <v>0</v>
      </c>
      <c r="L18" s="44" t="b">
        <v>0</v>
      </c>
      <c r="M18" s="44" t="b">
        <v>0</v>
      </c>
      <c r="N18" s="44" t="b">
        <v>0</v>
      </c>
      <c r="O18" s="44" t="b">
        <v>0</v>
      </c>
      <c r="P18" s="44" t="b">
        <v>0</v>
      </c>
      <c r="Q18" s="82" t="b">
        <v>0</v>
      </c>
      <c r="R18" s="82" t="b">
        <v>0</v>
      </c>
      <c r="S18" s="82" t="b">
        <v>0</v>
      </c>
      <c r="T18" s="82" t="b">
        <v>0</v>
      </c>
      <c r="U18" s="82" t="b">
        <v>0</v>
      </c>
      <c r="V18" s="82" t="b">
        <v>0</v>
      </c>
      <c r="W18" s="82" t="b">
        <v>0</v>
      </c>
      <c r="X18" s="44" t="b">
        <v>0</v>
      </c>
      <c r="Y18" s="44" t="b">
        <v>0</v>
      </c>
      <c r="Z18" s="44" t="b">
        <v>0</v>
      </c>
      <c r="AA18" s="44" t="b">
        <v>0</v>
      </c>
      <c r="AB18" s="44" t="b">
        <v>0</v>
      </c>
      <c r="AC18" s="44" t="b">
        <v>0</v>
      </c>
      <c r="AD18" s="44" t="b">
        <v>0</v>
      </c>
      <c r="AE18" s="43" t="b">
        <v>0</v>
      </c>
      <c r="AF18" s="43" t="b">
        <v>0</v>
      </c>
      <c r="AG18" s="43" t="b">
        <v>0</v>
      </c>
      <c r="AH18" s="9"/>
      <c r="AI18" s="45">
        <f t="shared" si="1"/>
        <v>31</v>
      </c>
      <c r="AJ18" s="46">
        <f t="shared" si="2"/>
        <v>0</v>
      </c>
      <c r="AK18" s="29" t="str">
        <f>IFERROR(__xludf.DUMMYFUNCTION("SPARKLINE(AJ18/AI18, {""charttype"",""bar"";""max"",1;""color1"",""#90EE90""})"),"")</f>
        <v/>
      </c>
      <c r="AL18" s="26"/>
      <c r="AM18" s="27"/>
      <c r="AN18" s="9"/>
    </row>
    <row r="19">
      <c r="B19" s="42"/>
      <c r="C19" s="82" t="b">
        <v>0</v>
      </c>
      <c r="D19" s="82" t="b">
        <v>0</v>
      </c>
      <c r="E19" s="82" t="b">
        <v>0</v>
      </c>
      <c r="F19" s="82" t="b">
        <v>0</v>
      </c>
      <c r="G19" s="82" t="b">
        <v>0</v>
      </c>
      <c r="H19" s="82" t="b">
        <v>0</v>
      </c>
      <c r="I19" s="82" t="b">
        <v>0</v>
      </c>
      <c r="J19" s="44" t="b">
        <v>0</v>
      </c>
      <c r="K19" s="44" t="b">
        <v>0</v>
      </c>
      <c r="L19" s="44" t="b">
        <v>0</v>
      </c>
      <c r="M19" s="44" t="b">
        <v>0</v>
      </c>
      <c r="N19" s="44" t="b">
        <v>0</v>
      </c>
      <c r="O19" s="44" t="b">
        <v>0</v>
      </c>
      <c r="P19" s="44" t="b">
        <v>0</v>
      </c>
      <c r="Q19" s="82" t="b">
        <v>0</v>
      </c>
      <c r="R19" s="82" t="b">
        <v>0</v>
      </c>
      <c r="S19" s="82" t="b">
        <v>0</v>
      </c>
      <c r="T19" s="82" t="b">
        <v>0</v>
      </c>
      <c r="U19" s="82" t="b">
        <v>0</v>
      </c>
      <c r="V19" s="82" t="b">
        <v>0</v>
      </c>
      <c r="W19" s="82" t="b">
        <v>0</v>
      </c>
      <c r="X19" s="44" t="b">
        <v>0</v>
      </c>
      <c r="Y19" s="44" t="b">
        <v>0</v>
      </c>
      <c r="Z19" s="44" t="b">
        <v>0</v>
      </c>
      <c r="AA19" s="44" t="b">
        <v>0</v>
      </c>
      <c r="AB19" s="44" t="b">
        <v>0</v>
      </c>
      <c r="AC19" s="44" t="b">
        <v>0</v>
      </c>
      <c r="AD19" s="44" t="b">
        <v>0</v>
      </c>
      <c r="AE19" s="43" t="b">
        <v>0</v>
      </c>
      <c r="AF19" s="43" t="b">
        <v>0</v>
      </c>
      <c r="AG19" s="43" t="b">
        <v>0</v>
      </c>
      <c r="AH19" s="9"/>
      <c r="AI19" s="45">
        <f t="shared" si="1"/>
        <v>31</v>
      </c>
      <c r="AJ19" s="46">
        <f t="shared" si="2"/>
        <v>0</v>
      </c>
      <c r="AK19" s="29" t="str">
        <f>IFERROR(__xludf.DUMMYFUNCTION("SPARKLINE(AJ19/AI19, {""charttype"",""bar"";""max"",1;""color1"",""#90EE90""})"),"")</f>
        <v/>
      </c>
      <c r="AL19" s="26"/>
      <c r="AM19" s="27"/>
      <c r="AN19" s="9"/>
    </row>
    <row r="20">
      <c r="B20" s="47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</row>
    <row r="21">
      <c r="B21" s="40" t="s">
        <v>11</v>
      </c>
      <c r="C21" s="49">
        <f t="shared" ref="C21:AG21" si="3">COUNTIF(C10:C19, TRUE)/COUNTA(C10:C19)</f>
        <v>0</v>
      </c>
      <c r="D21" s="49">
        <f t="shared" si="3"/>
        <v>0</v>
      </c>
      <c r="E21" s="49">
        <f t="shared" si="3"/>
        <v>0</v>
      </c>
      <c r="F21" s="49">
        <f t="shared" si="3"/>
        <v>0</v>
      </c>
      <c r="G21" s="49">
        <f t="shared" si="3"/>
        <v>0</v>
      </c>
      <c r="H21" s="49">
        <f t="shared" si="3"/>
        <v>0</v>
      </c>
      <c r="I21" s="49">
        <f t="shared" si="3"/>
        <v>0</v>
      </c>
      <c r="J21" s="49">
        <f t="shared" si="3"/>
        <v>0</v>
      </c>
      <c r="K21" s="49">
        <f t="shared" si="3"/>
        <v>0</v>
      </c>
      <c r="L21" s="49">
        <f t="shared" si="3"/>
        <v>0</v>
      </c>
      <c r="M21" s="49">
        <f t="shared" si="3"/>
        <v>0</v>
      </c>
      <c r="N21" s="49">
        <f t="shared" si="3"/>
        <v>0</v>
      </c>
      <c r="O21" s="49">
        <f t="shared" si="3"/>
        <v>0</v>
      </c>
      <c r="P21" s="49">
        <f t="shared" si="3"/>
        <v>0</v>
      </c>
      <c r="Q21" s="49">
        <f t="shared" si="3"/>
        <v>0</v>
      </c>
      <c r="R21" s="49">
        <f t="shared" si="3"/>
        <v>0</v>
      </c>
      <c r="S21" s="49">
        <f t="shared" si="3"/>
        <v>0</v>
      </c>
      <c r="T21" s="49">
        <f t="shared" si="3"/>
        <v>0</v>
      </c>
      <c r="U21" s="49">
        <f t="shared" si="3"/>
        <v>0</v>
      </c>
      <c r="V21" s="49">
        <f t="shared" si="3"/>
        <v>0</v>
      </c>
      <c r="W21" s="49">
        <f t="shared" si="3"/>
        <v>0</v>
      </c>
      <c r="X21" s="49">
        <f t="shared" si="3"/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B21" s="49">
        <f t="shared" si="3"/>
        <v>0</v>
      </c>
      <c r="AC21" s="49">
        <f t="shared" si="3"/>
        <v>0</v>
      </c>
      <c r="AD21" s="49">
        <f t="shared" si="3"/>
        <v>0</v>
      </c>
      <c r="AE21" s="49">
        <f t="shared" si="3"/>
        <v>0</v>
      </c>
      <c r="AF21" s="49">
        <f t="shared" si="3"/>
        <v>0</v>
      </c>
      <c r="AG21" s="49">
        <f t="shared" si="3"/>
        <v>0</v>
      </c>
    </row>
    <row r="22">
      <c r="B22" s="40" t="s">
        <v>38</v>
      </c>
      <c r="C22" s="46">
        <f t="shared" ref="C22:AG22" si="4">COUNTIF(C10:C19, TRUE)</f>
        <v>0</v>
      </c>
      <c r="D22" s="46">
        <f t="shared" si="4"/>
        <v>0</v>
      </c>
      <c r="E22" s="46">
        <f t="shared" si="4"/>
        <v>0</v>
      </c>
      <c r="F22" s="46">
        <f t="shared" si="4"/>
        <v>0</v>
      </c>
      <c r="G22" s="46">
        <f t="shared" si="4"/>
        <v>0</v>
      </c>
      <c r="H22" s="46">
        <f t="shared" si="4"/>
        <v>0</v>
      </c>
      <c r="I22" s="46">
        <f t="shared" si="4"/>
        <v>0</v>
      </c>
      <c r="J22" s="46">
        <f t="shared" si="4"/>
        <v>0</v>
      </c>
      <c r="K22" s="46">
        <f t="shared" si="4"/>
        <v>0</v>
      </c>
      <c r="L22" s="46">
        <f t="shared" si="4"/>
        <v>0</v>
      </c>
      <c r="M22" s="46">
        <f t="shared" si="4"/>
        <v>0</v>
      </c>
      <c r="N22" s="46">
        <f t="shared" si="4"/>
        <v>0</v>
      </c>
      <c r="O22" s="46">
        <f t="shared" si="4"/>
        <v>0</v>
      </c>
      <c r="P22" s="46">
        <f t="shared" si="4"/>
        <v>0</v>
      </c>
      <c r="Q22" s="46">
        <f t="shared" si="4"/>
        <v>0</v>
      </c>
      <c r="R22" s="46">
        <f t="shared" si="4"/>
        <v>0</v>
      </c>
      <c r="S22" s="46">
        <f t="shared" si="4"/>
        <v>0</v>
      </c>
      <c r="T22" s="46">
        <f t="shared" si="4"/>
        <v>0</v>
      </c>
      <c r="U22" s="46">
        <f t="shared" si="4"/>
        <v>0</v>
      </c>
      <c r="V22" s="46">
        <f t="shared" si="4"/>
        <v>0</v>
      </c>
      <c r="W22" s="46">
        <f t="shared" si="4"/>
        <v>0</v>
      </c>
      <c r="X22" s="46">
        <f t="shared" si="4"/>
        <v>0</v>
      </c>
      <c r="Y22" s="46">
        <f t="shared" si="4"/>
        <v>0</v>
      </c>
      <c r="Z22" s="46">
        <f t="shared" si="4"/>
        <v>0</v>
      </c>
      <c r="AA22" s="46">
        <f t="shared" si="4"/>
        <v>0</v>
      </c>
      <c r="AB22" s="46">
        <f t="shared" si="4"/>
        <v>0</v>
      </c>
      <c r="AC22" s="46">
        <f t="shared" si="4"/>
        <v>0</v>
      </c>
      <c r="AD22" s="46">
        <f t="shared" si="4"/>
        <v>0</v>
      </c>
      <c r="AE22" s="46">
        <f t="shared" si="4"/>
        <v>0</v>
      </c>
      <c r="AF22" s="46">
        <f t="shared" si="4"/>
        <v>0</v>
      </c>
      <c r="AG22" s="46">
        <f t="shared" si="4"/>
        <v>0</v>
      </c>
    </row>
    <row r="23">
      <c r="B23" s="40" t="s">
        <v>39</v>
      </c>
      <c r="C23" s="46">
        <f t="shared" ref="C23:AG23" si="5">COUNTIF(C10:C19, FALSE)</f>
        <v>10</v>
      </c>
      <c r="D23" s="46">
        <f t="shared" si="5"/>
        <v>10</v>
      </c>
      <c r="E23" s="46">
        <f t="shared" si="5"/>
        <v>10</v>
      </c>
      <c r="F23" s="46">
        <f t="shared" si="5"/>
        <v>10</v>
      </c>
      <c r="G23" s="46">
        <f t="shared" si="5"/>
        <v>10</v>
      </c>
      <c r="H23" s="46">
        <f t="shared" si="5"/>
        <v>10</v>
      </c>
      <c r="I23" s="46">
        <f t="shared" si="5"/>
        <v>10</v>
      </c>
      <c r="J23" s="46">
        <f t="shared" si="5"/>
        <v>10</v>
      </c>
      <c r="K23" s="46">
        <f t="shared" si="5"/>
        <v>10</v>
      </c>
      <c r="L23" s="46">
        <f t="shared" si="5"/>
        <v>10</v>
      </c>
      <c r="M23" s="46">
        <f t="shared" si="5"/>
        <v>10</v>
      </c>
      <c r="N23" s="46">
        <f t="shared" si="5"/>
        <v>10</v>
      </c>
      <c r="O23" s="46">
        <f t="shared" si="5"/>
        <v>10</v>
      </c>
      <c r="P23" s="46">
        <f t="shared" si="5"/>
        <v>10</v>
      </c>
      <c r="Q23" s="46">
        <f t="shared" si="5"/>
        <v>10</v>
      </c>
      <c r="R23" s="46">
        <f t="shared" si="5"/>
        <v>10</v>
      </c>
      <c r="S23" s="46">
        <f t="shared" si="5"/>
        <v>10</v>
      </c>
      <c r="T23" s="46">
        <f t="shared" si="5"/>
        <v>10</v>
      </c>
      <c r="U23" s="46">
        <f t="shared" si="5"/>
        <v>10</v>
      </c>
      <c r="V23" s="46">
        <f t="shared" si="5"/>
        <v>10</v>
      </c>
      <c r="W23" s="46">
        <f t="shared" si="5"/>
        <v>10</v>
      </c>
      <c r="X23" s="46">
        <f t="shared" si="5"/>
        <v>10</v>
      </c>
      <c r="Y23" s="46">
        <f t="shared" si="5"/>
        <v>10</v>
      </c>
      <c r="Z23" s="46">
        <f t="shared" si="5"/>
        <v>10</v>
      </c>
      <c r="AA23" s="46">
        <f t="shared" si="5"/>
        <v>10</v>
      </c>
      <c r="AB23" s="46">
        <f t="shared" si="5"/>
        <v>10</v>
      </c>
      <c r="AC23" s="46">
        <f t="shared" si="5"/>
        <v>10</v>
      </c>
      <c r="AD23" s="46">
        <f t="shared" si="5"/>
        <v>10</v>
      </c>
      <c r="AE23" s="46">
        <f t="shared" si="5"/>
        <v>10</v>
      </c>
      <c r="AF23" s="46">
        <f t="shared" si="5"/>
        <v>10</v>
      </c>
      <c r="AG23" s="46">
        <f t="shared" si="5"/>
        <v>10</v>
      </c>
    </row>
    <row r="33">
      <c r="B33" s="50"/>
      <c r="C33" s="41" t="s">
        <v>40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</row>
    <row r="34">
      <c r="B34" s="40" t="s">
        <v>41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1"/>
    </row>
    <row r="35">
      <c r="B35" s="40" t="s">
        <v>42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1"/>
    </row>
    <row r="36">
      <c r="C36" s="53">
        <f t="shared" ref="C36:AG36" si="6">(C35+C34)/20</f>
        <v>0</v>
      </c>
      <c r="D36" s="53">
        <f t="shared" si="6"/>
        <v>0</v>
      </c>
      <c r="E36" s="53">
        <f t="shared" si="6"/>
        <v>0</v>
      </c>
      <c r="F36" s="53">
        <f t="shared" si="6"/>
        <v>0</v>
      </c>
      <c r="G36" s="53">
        <f t="shared" si="6"/>
        <v>0</v>
      </c>
      <c r="H36" s="53">
        <f t="shared" si="6"/>
        <v>0</v>
      </c>
      <c r="I36" s="53">
        <f t="shared" si="6"/>
        <v>0</v>
      </c>
      <c r="J36" s="53">
        <f t="shared" si="6"/>
        <v>0</v>
      </c>
      <c r="K36" s="53">
        <f t="shared" si="6"/>
        <v>0</v>
      </c>
      <c r="L36" s="53">
        <f t="shared" si="6"/>
        <v>0</v>
      </c>
      <c r="M36" s="53">
        <f t="shared" si="6"/>
        <v>0</v>
      </c>
      <c r="N36" s="53">
        <f t="shared" si="6"/>
        <v>0</v>
      </c>
      <c r="O36" s="53">
        <f t="shared" si="6"/>
        <v>0</v>
      </c>
      <c r="P36" s="53">
        <f t="shared" si="6"/>
        <v>0</v>
      </c>
      <c r="Q36" s="53">
        <f t="shared" si="6"/>
        <v>0</v>
      </c>
      <c r="R36" s="53">
        <f t="shared" si="6"/>
        <v>0</v>
      </c>
      <c r="S36" s="53">
        <f t="shared" si="6"/>
        <v>0</v>
      </c>
      <c r="T36" s="53">
        <f t="shared" si="6"/>
        <v>0</v>
      </c>
      <c r="U36" s="53">
        <f t="shared" si="6"/>
        <v>0</v>
      </c>
      <c r="V36" s="53">
        <f t="shared" si="6"/>
        <v>0</v>
      </c>
      <c r="W36" s="53">
        <f t="shared" si="6"/>
        <v>0</v>
      </c>
      <c r="X36" s="53">
        <f t="shared" si="6"/>
        <v>0</v>
      </c>
      <c r="Y36" s="53">
        <f t="shared" si="6"/>
        <v>0</v>
      </c>
      <c r="Z36" s="53">
        <f t="shared" si="6"/>
        <v>0</v>
      </c>
      <c r="AA36" s="53">
        <f t="shared" si="6"/>
        <v>0</v>
      </c>
      <c r="AB36" s="53">
        <f t="shared" si="6"/>
        <v>0</v>
      </c>
      <c r="AC36" s="53">
        <f t="shared" si="6"/>
        <v>0</v>
      </c>
      <c r="AD36" s="53">
        <f t="shared" si="6"/>
        <v>0</v>
      </c>
      <c r="AE36" s="53">
        <f t="shared" si="6"/>
        <v>0</v>
      </c>
      <c r="AF36" s="53">
        <f t="shared" si="6"/>
        <v>0</v>
      </c>
      <c r="AG36" s="53">
        <f t="shared" si="6"/>
        <v>0</v>
      </c>
    </row>
  </sheetData>
  <mergeCells count="28">
    <mergeCell ref="AB3:AD3"/>
    <mergeCell ref="AB4:AD4"/>
    <mergeCell ref="B3:H4"/>
    <mergeCell ref="J3:N3"/>
    <mergeCell ref="P3:T3"/>
    <mergeCell ref="V3:Z3"/>
    <mergeCell ref="J4:N4"/>
    <mergeCell ref="P4:T4"/>
    <mergeCell ref="V4:Z4"/>
    <mergeCell ref="B7:B9"/>
    <mergeCell ref="C7:I7"/>
    <mergeCell ref="J7:P7"/>
    <mergeCell ref="Q7:W7"/>
    <mergeCell ref="X7:AD7"/>
    <mergeCell ref="AE7:AF7"/>
    <mergeCell ref="AI7:AM8"/>
    <mergeCell ref="AK16:AM16"/>
    <mergeCell ref="AK17:AM17"/>
    <mergeCell ref="AK18:AM18"/>
    <mergeCell ref="AK19:AM19"/>
    <mergeCell ref="C33:AG33"/>
    <mergeCell ref="AK9:AM9"/>
    <mergeCell ref="AK10:AM10"/>
    <mergeCell ref="AK11:AM11"/>
    <mergeCell ref="AK12:AM12"/>
    <mergeCell ref="AK13:AM13"/>
    <mergeCell ref="AK14:AM14"/>
    <mergeCell ref="AK15:AM15"/>
  </mergeCells>
  <dataValidations>
    <dataValidation type="list" allowBlank="1" showErrorMessage="1" sqref="C34:AG35">
      <formula1>"10,9,8,7,6,5,4,3,2,1,0"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23.25"/>
    <col customWidth="1" min="3" max="33" width="4.13"/>
    <col customWidth="1" min="34" max="34" width="10.0"/>
    <col customWidth="1" min="35" max="35" width="8.0"/>
    <col customWidth="1" min="36" max="39" width="4.13"/>
  </cols>
  <sheetData>
    <row r="2">
      <c r="B2" s="64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6"/>
      <c r="AM2" s="9"/>
    </row>
    <row r="3">
      <c r="B3" s="10" t="s">
        <v>60</v>
      </c>
      <c r="I3" s="67"/>
      <c r="J3" s="68" t="s">
        <v>70</v>
      </c>
      <c r="O3" s="69"/>
      <c r="P3" s="68" t="s">
        <v>10</v>
      </c>
      <c r="U3" s="69"/>
      <c r="V3" s="68" t="s">
        <v>11</v>
      </c>
      <c r="AA3" s="69"/>
      <c r="AB3" s="68" t="s">
        <v>12</v>
      </c>
      <c r="AE3" s="12"/>
      <c r="AF3" s="12"/>
      <c r="AG3" s="70"/>
      <c r="AH3" s="71"/>
      <c r="AI3" s="71"/>
      <c r="AJ3" s="71"/>
      <c r="AK3" s="71"/>
      <c r="AL3" s="72"/>
      <c r="AM3" s="9"/>
    </row>
    <row r="4">
      <c r="B4" s="17"/>
      <c r="I4" s="67"/>
      <c r="J4" s="71">
        <f>COUNTA($B$10:$B$19)</f>
        <v>0</v>
      </c>
      <c r="O4" s="70"/>
      <c r="P4" s="71">
        <f>COUNTIF($C$10:$AF$19, TRUE)</f>
        <v>0</v>
      </c>
      <c r="U4" s="70"/>
      <c r="V4" s="73" t="str">
        <f>IFERROR(__xludf.DUMMYFUNCTION("SPARKLINE(AB4, {""charttype"",""bar"";""max"",1;""color1"",""#90EE90""})"),"")</f>
        <v/>
      </c>
      <c r="AA4" s="70"/>
      <c r="AB4" s="74">
        <f>(P4)/(COUNTA($C$10:$C$19)*COUNTA($C$10:$AF$10))</f>
        <v>0</v>
      </c>
      <c r="AE4" s="74"/>
      <c r="AF4" s="74"/>
      <c r="AG4" s="70"/>
      <c r="AH4" s="71"/>
      <c r="AI4" s="71"/>
      <c r="AJ4" s="71"/>
      <c r="AK4" s="71"/>
      <c r="AL4" s="72"/>
      <c r="AM4" s="9"/>
    </row>
    <row r="5">
      <c r="B5" s="75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7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8"/>
      <c r="AM5" s="9"/>
    </row>
    <row r="6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</row>
    <row r="7">
      <c r="B7" s="24" t="s">
        <v>13</v>
      </c>
      <c r="C7" s="25" t="s">
        <v>14</v>
      </c>
      <c r="D7" s="26"/>
      <c r="E7" s="26"/>
      <c r="F7" s="26"/>
      <c r="G7" s="26"/>
      <c r="H7" s="26"/>
      <c r="I7" s="27"/>
      <c r="J7" s="28" t="s">
        <v>15</v>
      </c>
      <c r="K7" s="26"/>
      <c r="L7" s="26"/>
      <c r="M7" s="26"/>
      <c r="N7" s="26"/>
      <c r="O7" s="26"/>
      <c r="P7" s="27"/>
      <c r="Q7" s="25" t="s">
        <v>16</v>
      </c>
      <c r="R7" s="26"/>
      <c r="S7" s="26"/>
      <c r="T7" s="26"/>
      <c r="U7" s="26"/>
      <c r="V7" s="26"/>
      <c r="W7" s="27"/>
      <c r="X7" s="28" t="s">
        <v>17</v>
      </c>
      <c r="Y7" s="26"/>
      <c r="Z7" s="26"/>
      <c r="AA7" s="26"/>
      <c r="AB7" s="26"/>
      <c r="AC7" s="26"/>
      <c r="AD7" s="27"/>
      <c r="AE7" s="29"/>
      <c r="AF7" s="27"/>
      <c r="AG7" s="9"/>
      <c r="AH7" s="30" t="s">
        <v>18</v>
      </c>
      <c r="AI7" s="31"/>
      <c r="AJ7" s="31"/>
      <c r="AK7" s="31"/>
      <c r="AL7" s="32"/>
    </row>
    <row r="8">
      <c r="B8" s="33"/>
      <c r="C8" s="34" t="s">
        <v>23</v>
      </c>
      <c r="D8" s="34" t="s">
        <v>24</v>
      </c>
      <c r="E8" s="34" t="s">
        <v>25</v>
      </c>
      <c r="F8" s="34" t="s">
        <v>19</v>
      </c>
      <c r="G8" s="34" t="s">
        <v>20</v>
      </c>
      <c r="H8" s="34" t="s">
        <v>21</v>
      </c>
      <c r="I8" s="34" t="s">
        <v>22</v>
      </c>
      <c r="J8" s="35" t="s">
        <v>23</v>
      </c>
      <c r="K8" s="35" t="s">
        <v>24</v>
      </c>
      <c r="L8" s="35" t="s">
        <v>25</v>
      </c>
      <c r="M8" s="35" t="s">
        <v>19</v>
      </c>
      <c r="N8" s="35" t="s">
        <v>20</v>
      </c>
      <c r="O8" s="35" t="s">
        <v>21</v>
      </c>
      <c r="P8" s="35" t="s">
        <v>22</v>
      </c>
      <c r="Q8" s="34" t="s">
        <v>23</v>
      </c>
      <c r="R8" s="34" t="s">
        <v>24</v>
      </c>
      <c r="S8" s="34" t="s">
        <v>25</v>
      </c>
      <c r="T8" s="34" t="s">
        <v>19</v>
      </c>
      <c r="U8" s="34" t="s">
        <v>20</v>
      </c>
      <c r="V8" s="34" t="s">
        <v>21</v>
      </c>
      <c r="W8" s="34" t="s">
        <v>22</v>
      </c>
      <c r="X8" s="35" t="s">
        <v>23</v>
      </c>
      <c r="Y8" s="35" t="s">
        <v>24</v>
      </c>
      <c r="Z8" s="35" t="s">
        <v>25</v>
      </c>
      <c r="AA8" s="35" t="s">
        <v>19</v>
      </c>
      <c r="AB8" s="35" t="s">
        <v>20</v>
      </c>
      <c r="AC8" s="35" t="s">
        <v>21</v>
      </c>
      <c r="AD8" s="35" t="s">
        <v>22</v>
      </c>
      <c r="AE8" s="34" t="s">
        <v>23</v>
      </c>
      <c r="AF8" s="34" t="s">
        <v>24</v>
      </c>
      <c r="AG8" s="9"/>
      <c r="AH8" s="36"/>
      <c r="AI8" s="37"/>
      <c r="AJ8" s="37"/>
      <c r="AK8" s="37"/>
      <c r="AL8" s="38"/>
    </row>
    <row r="9">
      <c r="B9" s="39"/>
      <c r="C9" s="34">
        <v>1.0</v>
      </c>
      <c r="D9" s="34">
        <v>2.0</v>
      </c>
      <c r="E9" s="34">
        <v>3.0</v>
      </c>
      <c r="F9" s="34">
        <v>4.0</v>
      </c>
      <c r="G9" s="34">
        <v>5.0</v>
      </c>
      <c r="H9" s="34">
        <v>6.0</v>
      </c>
      <c r="I9" s="34">
        <v>7.0</v>
      </c>
      <c r="J9" s="35">
        <v>8.0</v>
      </c>
      <c r="K9" s="35">
        <v>9.0</v>
      </c>
      <c r="L9" s="35">
        <v>10.0</v>
      </c>
      <c r="M9" s="35">
        <v>11.0</v>
      </c>
      <c r="N9" s="35">
        <v>12.0</v>
      </c>
      <c r="O9" s="35">
        <v>13.0</v>
      </c>
      <c r="P9" s="35">
        <v>14.0</v>
      </c>
      <c r="Q9" s="34">
        <v>15.0</v>
      </c>
      <c r="R9" s="34">
        <v>16.0</v>
      </c>
      <c r="S9" s="34">
        <v>17.0</v>
      </c>
      <c r="T9" s="34">
        <v>18.0</v>
      </c>
      <c r="U9" s="34">
        <v>19.0</v>
      </c>
      <c r="V9" s="34">
        <v>20.0</v>
      </c>
      <c r="W9" s="34">
        <v>21.0</v>
      </c>
      <c r="X9" s="35">
        <v>22.0</v>
      </c>
      <c r="Y9" s="35">
        <v>23.0</v>
      </c>
      <c r="Z9" s="35">
        <v>24.0</v>
      </c>
      <c r="AA9" s="35">
        <v>25.0</v>
      </c>
      <c r="AB9" s="35">
        <v>26.0</v>
      </c>
      <c r="AC9" s="35">
        <v>27.0</v>
      </c>
      <c r="AD9" s="35">
        <v>28.0</v>
      </c>
      <c r="AE9" s="34">
        <v>29.0</v>
      </c>
      <c r="AF9" s="34">
        <v>30.0</v>
      </c>
      <c r="AG9" s="9"/>
      <c r="AH9" s="40" t="s">
        <v>26</v>
      </c>
      <c r="AI9" s="40" t="s">
        <v>27</v>
      </c>
      <c r="AJ9" s="41" t="s">
        <v>11</v>
      </c>
      <c r="AK9" s="26"/>
      <c r="AL9" s="27"/>
    </row>
    <row r="10">
      <c r="B10" s="42"/>
      <c r="C10" s="82" t="b">
        <v>0</v>
      </c>
      <c r="D10" s="82" t="b">
        <v>0</v>
      </c>
      <c r="E10" s="82" t="b">
        <v>0</v>
      </c>
      <c r="F10" s="82" t="b">
        <v>0</v>
      </c>
      <c r="G10" s="82" t="b">
        <v>0</v>
      </c>
      <c r="H10" s="82" t="b">
        <v>0</v>
      </c>
      <c r="I10" s="82" t="b">
        <v>0</v>
      </c>
      <c r="J10" s="44" t="b">
        <v>0</v>
      </c>
      <c r="K10" s="44" t="b">
        <v>0</v>
      </c>
      <c r="L10" s="44" t="b">
        <v>0</v>
      </c>
      <c r="M10" s="44" t="b">
        <v>0</v>
      </c>
      <c r="N10" s="44" t="b">
        <v>0</v>
      </c>
      <c r="O10" s="44" t="b">
        <v>0</v>
      </c>
      <c r="P10" s="44" t="b">
        <v>0</v>
      </c>
      <c r="Q10" s="82" t="b">
        <v>0</v>
      </c>
      <c r="R10" s="82" t="b">
        <v>0</v>
      </c>
      <c r="S10" s="82" t="b">
        <v>0</v>
      </c>
      <c r="T10" s="82" t="b">
        <v>0</v>
      </c>
      <c r="U10" s="82" t="b">
        <v>0</v>
      </c>
      <c r="V10" s="82" t="b">
        <v>0</v>
      </c>
      <c r="W10" s="82" t="b">
        <v>0</v>
      </c>
      <c r="X10" s="44" t="b">
        <v>0</v>
      </c>
      <c r="Y10" s="44" t="b">
        <v>0</v>
      </c>
      <c r="Z10" s="44" t="b">
        <v>0</v>
      </c>
      <c r="AA10" s="44" t="b">
        <v>0</v>
      </c>
      <c r="AB10" s="44" t="b">
        <v>0</v>
      </c>
      <c r="AC10" s="44" t="b">
        <v>0</v>
      </c>
      <c r="AD10" s="44" t="b">
        <v>0</v>
      </c>
      <c r="AE10" s="43" t="b">
        <v>0</v>
      </c>
      <c r="AF10" s="43" t="b">
        <v>0</v>
      </c>
      <c r="AG10" s="9"/>
      <c r="AH10" s="45">
        <f t="shared" ref="AH10:AH19" si="1">30</f>
        <v>30</v>
      </c>
      <c r="AI10" s="46">
        <f t="shared" ref="AI10:AI19" si="2">COUNTIF(C10:AF10, TRUE)</f>
        <v>0</v>
      </c>
      <c r="AJ10" s="29" t="str">
        <f>IFERROR(__xludf.DUMMYFUNCTION("SPARKLINE(AI10/AH10, {""charttype"",""bar"";""max"",1;""color1"",""#90EE90""})"),"")</f>
        <v/>
      </c>
      <c r="AK10" s="26"/>
      <c r="AL10" s="27"/>
      <c r="AM10" s="9"/>
    </row>
    <row r="11">
      <c r="B11" s="42"/>
      <c r="C11" s="82" t="b">
        <v>0</v>
      </c>
      <c r="D11" s="82" t="b">
        <v>0</v>
      </c>
      <c r="E11" s="82" t="b">
        <v>0</v>
      </c>
      <c r="F11" s="82" t="b">
        <v>0</v>
      </c>
      <c r="G11" s="82" t="b">
        <v>0</v>
      </c>
      <c r="H11" s="82" t="b">
        <v>0</v>
      </c>
      <c r="I11" s="82" t="b">
        <v>0</v>
      </c>
      <c r="J11" s="44" t="b">
        <v>0</v>
      </c>
      <c r="K11" s="44" t="b">
        <v>0</v>
      </c>
      <c r="L11" s="44" t="b">
        <v>0</v>
      </c>
      <c r="M11" s="44" t="b">
        <v>0</v>
      </c>
      <c r="N11" s="44" t="b">
        <v>0</v>
      </c>
      <c r="O11" s="44" t="b">
        <v>0</v>
      </c>
      <c r="P11" s="44" t="b">
        <v>0</v>
      </c>
      <c r="Q11" s="82" t="b">
        <v>0</v>
      </c>
      <c r="R11" s="82" t="b">
        <v>0</v>
      </c>
      <c r="S11" s="82" t="b">
        <v>0</v>
      </c>
      <c r="T11" s="82" t="b">
        <v>0</v>
      </c>
      <c r="U11" s="82" t="b">
        <v>0</v>
      </c>
      <c r="V11" s="82" t="b">
        <v>0</v>
      </c>
      <c r="W11" s="82" t="b">
        <v>0</v>
      </c>
      <c r="X11" s="44" t="b">
        <v>0</v>
      </c>
      <c r="Y11" s="44" t="b">
        <v>0</v>
      </c>
      <c r="Z11" s="44" t="b">
        <v>0</v>
      </c>
      <c r="AA11" s="44" t="b">
        <v>0</v>
      </c>
      <c r="AB11" s="44" t="b">
        <v>0</v>
      </c>
      <c r="AC11" s="44" t="b">
        <v>0</v>
      </c>
      <c r="AD11" s="44" t="b">
        <v>0</v>
      </c>
      <c r="AE11" s="43" t="b">
        <v>0</v>
      </c>
      <c r="AF11" s="43" t="b">
        <v>0</v>
      </c>
      <c r="AG11" s="9"/>
      <c r="AH11" s="45">
        <f t="shared" si="1"/>
        <v>30</v>
      </c>
      <c r="AI11" s="46">
        <f t="shared" si="2"/>
        <v>0</v>
      </c>
      <c r="AJ11" s="29" t="str">
        <f>IFERROR(__xludf.DUMMYFUNCTION("SPARKLINE(AI11/AH11, {""charttype"",""bar"";""max"",1;""color1"",""#90EE90""})"),"")</f>
        <v/>
      </c>
      <c r="AK11" s="26"/>
      <c r="AL11" s="27"/>
      <c r="AM11" s="9"/>
    </row>
    <row r="12">
      <c r="B12" s="42"/>
      <c r="C12" s="82" t="b">
        <v>0</v>
      </c>
      <c r="D12" s="82" t="b">
        <v>0</v>
      </c>
      <c r="E12" s="82" t="b">
        <v>0</v>
      </c>
      <c r="F12" s="82" t="b">
        <v>0</v>
      </c>
      <c r="G12" s="82" t="b">
        <v>0</v>
      </c>
      <c r="H12" s="82" t="b">
        <v>0</v>
      </c>
      <c r="I12" s="82" t="b">
        <v>0</v>
      </c>
      <c r="J12" s="44" t="b">
        <v>0</v>
      </c>
      <c r="K12" s="44" t="b">
        <v>0</v>
      </c>
      <c r="L12" s="44" t="b">
        <v>0</v>
      </c>
      <c r="M12" s="44" t="b">
        <v>0</v>
      </c>
      <c r="N12" s="44" t="b">
        <v>0</v>
      </c>
      <c r="O12" s="44" t="b">
        <v>0</v>
      </c>
      <c r="P12" s="44" t="b">
        <v>0</v>
      </c>
      <c r="Q12" s="82" t="b">
        <v>0</v>
      </c>
      <c r="R12" s="82" t="b">
        <v>0</v>
      </c>
      <c r="S12" s="82" t="b">
        <v>0</v>
      </c>
      <c r="T12" s="82" t="b">
        <v>0</v>
      </c>
      <c r="U12" s="82" t="b">
        <v>0</v>
      </c>
      <c r="V12" s="82" t="b">
        <v>0</v>
      </c>
      <c r="W12" s="82" t="b">
        <v>0</v>
      </c>
      <c r="X12" s="44" t="b">
        <v>0</v>
      </c>
      <c r="Y12" s="44" t="b">
        <v>0</v>
      </c>
      <c r="Z12" s="44" t="b">
        <v>0</v>
      </c>
      <c r="AA12" s="44" t="b">
        <v>0</v>
      </c>
      <c r="AB12" s="44" t="b">
        <v>0</v>
      </c>
      <c r="AC12" s="44" t="b">
        <v>0</v>
      </c>
      <c r="AD12" s="44" t="b">
        <v>0</v>
      </c>
      <c r="AE12" s="43" t="b">
        <v>0</v>
      </c>
      <c r="AF12" s="43" t="b">
        <v>0</v>
      </c>
      <c r="AG12" s="9"/>
      <c r="AH12" s="45">
        <f t="shared" si="1"/>
        <v>30</v>
      </c>
      <c r="AI12" s="46">
        <f t="shared" si="2"/>
        <v>0</v>
      </c>
      <c r="AJ12" s="29" t="str">
        <f>IFERROR(__xludf.DUMMYFUNCTION("SPARKLINE(AI12/AH12, {""charttype"",""bar"";""max"",1;""color1"",""#90EE90""})"),"")</f>
        <v/>
      </c>
      <c r="AK12" s="26"/>
      <c r="AL12" s="27"/>
      <c r="AM12" s="9"/>
    </row>
    <row r="13">
      <c r="B13" s="42"/>
      <c r="C13" s="82" t="b">
        <v>0</v>
      </c>
      <c r="D13" s="82" t="b">
        <v>0</v>
      </c>
      <c r="E13" s="82" t="b">
        <v>0</v>
      </c>
      <c r="F13" s="82" t="b">
        <v>0</v>
      </c>
      <c r="G13" s="82" t="b">
        <v>0</v>
      </c>
      <c r="H13" s="82" t="b">
        <v>0</v>
      </c>
      <c r="I13" s="82" t="b">
        <v>0</v>
      </c>
      <c r="J13" s="44" t="b">
        <v>0</v>
      </c>
      <c r="K13" s="44" t="b">
        <v>0</v>
      </c>
      <c r="L13" s="44" t="b">
        <v>0</v>
      </c>
      <c r="M13" s="44" t="b">
        <v>0</v>
      </c>
      <c r="N13" s="44" t="b">
        <v>0</v>
      </c>
      <c r="O13" s="44" t="b">
        <v>0</v>
      </c>
      <c r="P13" s="44" t="b">
        <v>0</v>
      </c>
      <c r="Q13" s="82" t="b">
        <v>0</v>
      </c>
      <c r="R13" s="82" t="b">
        <v>0</v>
      </c>
      <c r="S13" s="82" t="b">
        <v>0</v>
      </c>
      <c r="T13" s="82" t="b">
        <v>0</v>
      </c>
      <c r="U13" s="82" t="b">
        <v>0</v>
      </c>
      <c r="V13" s="82" t="b">
        <v>0</v>
      </c>
      <c r="W13" s="82" t="b">
        <v>0</v>
      </c>
      <c r="X13" s="44" t="b">
        <v>0</v>
      </c>
      <c r="Y13" s="44" t="b">
        <v>0</v>
      </c>
      <c r="Z13" s="44" t="b">
        <v>0</v>
      </c>
      <c r="AA13" s="44" t="b">
        <v>0</v>
      </c>
      <c r="AB13" s="44" t="b">
        <v>0</v>
      </c>
      <c r="AC13" s="44" t="b">
        <v>0</v>
      </c>
      <c r="AD13" s="44" t="b">
        <v>0</v>
      </c>
      <c r="AE13" s="43" t="b">
        <v>0</v>
      </c>
      <c r="AF13" s="43" t="b">
        <v>0</v>
      </c>
      <c r="AG13" s="9"/>
      <c r="AH13" s="45">
        <f t="shared" si="1"/>
        <v>30</v>
      </c>
      <c r="AI13" s="46">
        <f t="shared" si="2"/>
        <v>0</v>
      </c>
      <c r="AJ13" s="29" t="str">
        <f>IFERROR(__xludf.DUMMYFUNCTION("SPARKLINE(AI13/AH13, {""charttype"",""bar"";""max"",1;""color1"",""#90EE90""})"),"")</f>
        <v/>
      </c>
      <c r="AK13" s="26"/>
      <c r="AL13" s="27"/>
      <c r="AM13" s="9"/>
    </row>
    <row r="14">
      <c r="B14" s="42"/>
      <c r="C14" s="82" t="b">
        <v>0</v>
      </c>
      <c r="D14" s="82" t="b">
        <v>0</v>
      </c>
      <c r="E14" s="82" t="b">
        <v>0</v>
      </c>
      <c r="F14" s="82" t="b">
        <v>0</v>
      </c>
      <c r="G14" s="82" t="b">
        <v>0</v>
      </c>
      <c r="H14" s="82" t="b">
        <v>0</v>
      </c>
      <c r="I14" s="82" t="b">
        <v>0</v>
      </c>
      <c r="J14" s="44" t="b">
        <v>0</v>
      </c>
      <c r="K14" s="44" t="b">
        <v>0</v>
      </c>
      <c r="L14" s="44" t="b">
        <v>0</v>
      </c>
      <c r="M14" s="44" t="b">
        <v>0</v>
      </c>
      <c r="N14" s="44" t="b">
        <v>0</v>
      </c>
      <c r="O14" s="44" t="b">
        <v>0</v>
      </c>
      <c r="P14" s="44" t="b">
        <v>0</v>
      </c>
      <c r="Q14" s="82" t="b">
        <v>0</v>
      </c>
      <c r="R14" s="82" t="b">
        <v>0</v>
      </c>
      <c r="S14" s="82" t="b">
        <v>0</v>
      </c>
      <c r="T14" s="82" t="b">
        <v>0</v>
      </c>
      <c r="U14" s="82" t="b">
        <v>0</v>
      </c>
      <c r="V14" s="82" t="b">
        <v>0</v>
      </c>
      <c r="W14" s="82" t="b">
        <v>0</v>
      </c>
      <c r="X14" s="44" t="b">
        <v>0</v>
      </c>
      <c r="Y14" s="44" t="b">
        <v>0</v>
      </c>
      <c r="Z14" s="44" t="b">
        <v>0</v>
      </c>
      <c r="AA14" s="44" t="b">
        <v>0</v>
      </c>
      <c r="AB14" s="44" t="b">
        <v>0</v>
      </c>
      <c r="AC14" s="44" t="b">
        <v>0</v>
      </c>
      <c r="AD14" s="44" t="b">
        <v>0</v>
      </c>
      <c r="AE14" s="43" t="b">
        <v>0</v>
      </c>
      <c r="AF14" s="43" t="b">
        <v>0</v>
      </c>
      <c r="AG14" s="9"/>
      <c r="AH14" s="45">
        <f t="shared" si="1"/>
        <v>30</v>
      </c>
      <c r="AI14" s="46">
        <f t="shared" si="2"/>
        <v>0</v>
      </c>
      <c r="AJ14" s="29" t="str">
        <f>IFERROR(__xludf.DUMMYFUNCTION("SPARKLINE(AI14/AH14, {""charttype"",""bar"";""max"",1;""color1"",""#90EE90""})"),"")</f>
        <v/>
      </c>
      <c r="AK14" s="26"/>
      <c r="AL14" s="27"/>
      <c r="AM14" s="9"/>
    </row>
    <row r="15">
      <c r="B15" s="42"/>
      <c r="C15" s="82" t="b">
        <v>0</v>
      </c>
      <c r="D15" s="82" t="b">
        <v>0</v>
      </c>
      <c r="E15" s="82" t="b">
        <v>0</v>
      </c>
      <c r="F15" s="82" t="b">
        <v>0</v>
      </c>
      <c r="G15" s="82" t="b">
        <v>0</v>
      </c>
      <c r="H15" s="82" t="b">
        <v>0</v>
      </c>
      <c r="I15" s="82" t="b">
        <v>0</v>
      </c>
      <c r="J15" s="44" t="b">
        <v>0</v>
      </c>
      <c r="K15" s="44" t="b">
        <v>0</v>
      </c>
      <c r="L15" s="44" t="b">
        <v>0</v>
      </c>
      <c r="M15" s="44" t="b">
        <v>0</v>
      </c>
      <c r="N15" s="44" t="b">
        <v>0</v>
      </c>
      <c r="O15" s="44" t="b">
        <v>0</v>
      </c>
      <c r="P15" s="44" t="b">
        <v>0</v>
      </c>
      <c r="Q15" s="82" t="b">
        <v>0</v>
      </c>
      <c r="R15" s="82" t="b">
        <v>0</v>
      </c>
      <c r="S15" s="82" t="b">
        <v>0</v>
      </c>
      <c r="T15" s="82" t="b">
        <v>0</v>
      </c>
      <c r="U15" s="82" t="b">
        <v>0</v>
      </c>
      <c r="V15" s="82" t="b">
        <v>0</v>
      </c>
      <c r="W15" s="82" t="b">
        <v>0</v>
      </c>
      <c r="X15" s="44" t="b">
        <v>0</v>
      </c>
      <c r="Y15" s="44" t="b">
        <v>0</v>
      </c>
      <c r="Z15" s="44" t="b">
        <v>0</v>
      </c>
      <c r="AA15" s="44" t="b">
        <v>0</v>
      </c>
      <c r="AB15" s="44" t="b">
        <v>0</v>
      </c>
      <c r="AC15" s="44" t="b">
        <v>0</v>
      </c>
      <c r="AD15" s="44" t="b">
        <v>0</v>
      </c>
      <c r="AE15" s="43" t="b">
        <v>0</v>
      </c>
      <c r="AF15" s="43" t="b">
        <v>0</v>
      </c>
      <c r="AG15" s="9"/>
      <c r="AH15" s="45">
        <f t="shared" si="1"/>
        <v>30</v>
      </c>
      <c r="AI15" s="46">
        <f t="shared" si="2"/>
        <v>0</v>
      </c>
      <c r="AJ15" s="29" t="str">
        <f>IFERROR(__xludf.DUMMYFUNCTION("SPARKLINE(AI15/AH15, {""charttype"",""bar"";""max"",1;""color1"",""#90EE90""})"),"")</f>
        <v/>
      </c>
      <c r="AK15" s="26"/>
      <c r="AL15" s="27"/>
      <c r="AM15" s="9"/>
    </row>
    <row r="16">
      <c r="B16" s="42"/>
      <c r="C16" s="82" t="b">
        <v>0</v>
      </c>
      <c r="D16" s="82" t="b">
        <v>0</v>
      </c>
      <c r="E16" s="82" t="b">
        <v>0</v>
      </c>
      <c r="F16" s="82" t="b">
        <v>0</v>
      </c>
      <c r="G16" s="82" t="b">
        <v>0</v>
      </c>
      <c r="H16" s="82" t="b">
        <v>0</v>
      </c>
      <c r="I16" s="82" t="b">
        <v>0</v>
      </c>
      <c r="J16" s="44" t="b">
        <v>0</v>
      </c>
      <c r="K16" s="44" t="b">
        <v>0</v>
      </c>
      <c r="L16" s="44" t="b">
        <v>0</v>
      </c>
      <c r="M16" s="44" t="b">
        <v>0</v>
      </c>
      <c r="N16" s="44" t="b">
        <v>0</v>
      </c>
      <c r="O16" s="44" t="b">
        <v>0</v>
      </c>
      <c r="P16" s="44" t="b">
        <v>0</v>
      </c>
      <c r="Q16" s="82" t="b">
        <v>0</v>
      </c>
      <c r="R16" s="82" t="b">
        <v>0</v>
      </c>
      <c r="S16" s="82" t="b">
        <v>0</v>
      </c>
      <c r="T16" s="82" t="b">
        <v>0</v>
      </c>
      <c r="U16" s="82" t="b">
        <v>0</v>
      </c>
      <c r="V16" s="82" t="b">
        <v>0</v>
      </c>
      <c r="W16" s="82" t="b">
        <v>0</v>
      </c>
      <c r="X16" s="44" t="b">
        <v>0</v>
      </c>
      <c r="Y16" s="44" t="b">
        <v>0</v>
      </c>
      <c r="Z16" s="44" t="b">
        <v>0</v>
      </c>
      <c r="AA16" s="44" t="b">
        <v>0</v>
      </c>
      <c r="AB16" s="44" t="b">
        <v>0</v>
      </c>
      <c r="AC16" s="44" t="b">
        <v>0</v>
      </c>
      <c r="AD16" s="44" t="b">
        <v>0</v>
      </c>
      <c r="AE16" s="43" t="b">
        <v>0</v>
      </c>
      <c r="AF16" s="43" t="b">
        <v>0</v>
      </c>
      <c r="AG16" s="9"/>
      <c r="AH16" s="45">
        <f t="shared" si="1"/>
        <v>30</v>
      </c>
      <c r="AI16" s="46">
        <f t="shared" si="2"/>
        <v>0</v>
      </c>
      <c r="AJ16" s="29" t="str">
        <f>IFERROR(__xludf.DUMMYFUNCTION("SPARKLINE(AI16/AH16, {""charttype"",""bar"";""max"",1;""color1"",""#90EE90""})"),"")</f>
        <v/>
      </c>
      <c r="AK16" s="26"/>
      <c r="AL16" s="27"/>
      <c r="AM16" s="9"/>
    </row>
    <row r="17">
      <c r="B17" s="42"/>
      <c r="C17" s="82" t="b">
        <v>0</v>
      </c>
      <c r="D17" s="82" t="b">
        <v>0</v>
      </c>
      <c r="E17" s="82" t="b">
        <v>0</v>
      </c>
      <c r="F17" s="82" t="b">
        <v>0</v>
      </c>
      <c r="G17" s="82" t="b">
        <v>0</v>
      </c>
      <c r="H17" s="82" t="b">
        <v>0</v>
      </c>
      <c r="I17" s="82" t="b">
        <v>0</v>
      </c>
      <c r="J17" s="44" t="b">
        <v>0</v>
      </c>
      <c r="K17" s="44" t="b">
        <v>0</v>
      </c>
      <c r="L17" s="44" t="b">
        <v>0</v>
      </c>
      <c r="M17" s="44" t="b">
        <v>0</v>
      </c>
      <c r="N17" s="44" t="b">
        <v>0</v>
      </c>
      <c r="O17" s="44" t="b">
        <v>0</v>
      </c>
      <c r="P17" s="44" t="b">
        <v>0</v>
      </c>
      <c r="Q17" s="82" t="b">
        <v>0</v>
      </c>
      <c r="R17" s="82" t="b">
        <v>0</v>
      </c>
      <c r="S17" s="82" t="b">
        <v>0</v>
      </c>
      <c r="T17" s="82" t="b">
        <v>0</v>
      </c>
      <c r="U17" s="82" t="b">
        <v>0</v>
      </c>
      <c r="V17" s="82" t="b">
        <v>0</v>
      </c>
      <c r="W17" s="82" t="b">
        <v>0</v>
      </c>
      <c r="X17" s="44" t="b">
        <v>0</v>
      </c>
      <c r="Y17" s="44" t="b">
        <v>0</v>
      </c>
      <c r="Z17" s="44" t="b">
        <v>0</v>
      </c>
      <c r="AA17" s="44" t="b">
        <v>0</v>
      </c>
      <c r="AB17" s="44" t="b">
        <v>0</v>
      </c>
      <c r="AC17" s="44" t="b">
        <v>0</v>
      </c>
      <c r="AD17" s="44" t="b">
        <v>0</v>
      </c>
      <c r="AE17" s="43" t="b">
        <v>0</v>
      </c>
      <c r="AF17" s="43" t="b">
        <v>0</v>
      </c>
      <c r="AG17" s="9"/>
      <c r="AH17" s="45">
        <f t="shared" si="1"/>
        <v>30</v>
      </c>
      <c r="AI17" s="46">
        <f t="shared" si="2"/>
        <v>0</v>
      </c>
      <c r="AJ17" s="29" t="str">
        <f>IFERROR(__xludf.DUMMYFUNCTION("SPARKLINE(AI17/AH17, {""charttype"",""bar"";""max"",1;""color1"",""#90EE90""})"),"")</f>
        <v/>
      </c>
      <c r="AK17" s="26"/>
      <c r="AL17" s="27"/>
      <c r="AM17" s="9"/>
    </row>
    <row r="18">
      <c r="B18" s="42"/>
      <c r="C18" s="82" t="b">
        <v>0</v>
      </c>
      <c r="D18" s="82" t="b">
        <v>0</v>
      </c>
      <c r="E18" s="82" t="b">
        <v>0</v>
      </c>
      <c r="F18" s="82" t="b">
        <v>0</v>
      </c>
      <c r="G18" s="82" t="b">
        <v>0</v>
      </c>
      <c r="H18" s="82" t="b">
        <v>0</v>
      </c>
      <c r="I18" s="82" t="b">
        <v>0</v>
      </c>
      <c r="J18" s="44" t="b">
        <v>0</v>
      </c>
      <c r="K18" s="44" t="b">
        <v>0</v>
      </c>
      <c r="L18" s="44" t="b">
        <v>0</v>
      </c>
      <c r="M18" s="44" t="b">
        <v>0</v>
      </c>
      <c r="N18" s="44" t="b">
        <v>0</v>
      </c>
      <c r="O18" s="44" t="b">
        <v>0</v>
      </c>
      <c r="P18" s="44" t="b">
        <v>0</v>
      </c>
      <c r="Q18" s="82" t="b">
        <v>0</v>
      </c>
      <c r="R18" s="82" t="b">
        <v>0</v>
      </c>
      <c r="S18" s="82" t="b">
        <v>0</v>
      </c>
      <c r="T18" s="82" t="b">
        <v>0</v>
      </c>
      <c r="U18" s="82" t="b">
        <v>0</v>
      </c>
      <c r="V18" s="82" t="b">
        <v>0</v>
      </c>
      <c r="W18" s="82" t="b">
        <v>0</v>
      </c>
      <c r="X18" s="44" t="b">
        <v>0</v>
      </c>
      <c r="Y18" s="44" t="b">
        <v>0</v>
      </c>
      <c r="Z18" s="44" t="b">
        <v>0</v>
      </c>
      <c r="AA18" s="44" t="b">
        <v>0</v>
      </c>
      <c r="AB18" s="44" t="b">
        <v>0</v>
      </c>
      <c r="AC18" s="44" t="b">
        <v>0</v>
      </c>
      <c r="AD18" s="44" t="b">
        <v>0</v>
      </c>
      <c r="AE18" s="43" t="b">
        <v>0</v>
      </c>
      <c r="AF18" s="43" t="b">
        <v>0</v>
      </c>
      <c r="AG18" s="9"/>
      <c r="AH18" s="45">
        <f t="shared" si="1"/>
        <v>30</v>
      </c>
      <c r="AI18" s="46">
        <f t="shared" si="2"/>
        <v>0</v>
      </c>
      <c r="AJ18" s="29" t="str">
        <f>IFERROR(__xludf.DUMMYFUNCTION("SPARKLINE(AI18/AH18, {""charttype"",""bar"";""max"",1;""color1"",""#90EE90""})"),"")</f>
        <v/>
      </c>
      <c r="AK18" s="26"/>
      <c r="AL18" s="27"/>
      <c r="AM18" s="9"/>
    </row>
    <row r="19">
      <c r="B19" s="42"/>
      <c r="C19" s="82" t="b">
        <v>0</v>
      </c>
      <c r="D19" s="82" t="b">
        <v>0</v>
      </c>
      <c r="E19" s="82" t="b">
        <v>0</v>
      </c>
      <c r="F19" s="82" t="b">
        <v>0</v>
      </c>
      <c r="G19" s="82" t="b">
        <v>0</v>
      </c>
      <c r="H19" s="82" t="b">
        <v>0</v>
      </c>
      <c r="I19" s="82" t="b">
        <v>0</v>
      </c>
      <c r="J19" s="44" t="b">
        <v>0</v>
      </c>
      <c r="K19" s="44" t="b">
        <v>0</v>
      </c>
      <c r="L19" s="44" t="b">
        <v>0</v>
      </c>
      <c r="M19" s="44" t="b">
        <v>0</v>
      </c>
      <c r="N19" s="44" t="b">
        <v>0</v>
      </c>
      <c r="O19" s="44" t="b">
        <v>0</v>
      </c>
      <c r="P19" s="44" t="b">
        <v>0</v>
      </c>
      <c r="Q19" s="82" t="b">
        <v>0</v>
      </c>
      <c r="R19" s="82" t="b">
        <v>0</v>
      </c>
      <c r="S19" s="82" t="b">
        <v>0</v>
      </c>
      <c r="T19" s="82" t="b">
        <v>0</v>
      </c>
      <c r="U19" s="82" t="b">
        <v>0</v>
      </c>
      <c r="V19" s="82" t="b">
        <v>0</v>
      </c>
      <c r="W19" s="82" t="b">
        <v>0</v>
      </c>
      <c r="X19" s="44" t="b">
        <v>0</v>
      </c>
      <c r="Y19" s="44" t="b">
        <v>0</v>
      </c>
      <c r="Z19" s="44" t="b">
        <v>0</v>
      </c>
      <c r="AA19" s="44" t="b">
        <v>0</v>
      </c>
      <c r="AB19" s="44" t="b">
        <v>0</v>
      </c>
      <c r="AC19" s="44" t="b">
        <v>0</v>
      </c>
      <c r="AD19" s="44" t="b">
        <v>0</v>
      </c>
      <c r="AE19" s="43" t="b">
        <v>0</v>
      </c>
      <c r="AF19" s="43" t="b">
        <v>0</v>
      </c>
      <c r="AG19" s="9"/>
      <c r="AH19" s="45">
        <f t="shared" si="1"/>
        <v>30</v>
      </c>
      <c r="AI19" s="46">
        <f t="shared" si="2"/>
        <v>0</v>
      </c>
      <c r="AJ19" s="29" t="str">
        <f>IFERROR(__xludf.DUMMYFUNCTION("SPARKLINE(AI19/AH19, {""charttype"",""bar"";""max"",1;""color1"",""#90EE90""})"),"")</f>
        <v/>
      </c>
      <c r="AK19" s="26"/>
      <c r="AL19" s="27"/>
      <c r="AM19" s="9"/>
    </row>
    <row r="20">
      <c r="B20" s="47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</row>
    <row r="21">
      <c r="B21" s="40" t="s">
        <v>11</v>
      </c>
      <c r="C21" s="49">
        <f t="shared" ref="C21:AF21" si="3">COUNTIF(C10:C19, TRUE)/COUNTA(C10:C19)</f>
        <v>0</v>
      </c>
      <c r="D21" s="49">
        <f t="shared" si="3"/>
        <v>0</v>
      </c>
      <c r="E21" s="49">
        <f t="shared" si="3"/>
        <v>0</v>
      </c>
      <c r="F21" s="49">
        <f t="shared" si="3"/>
        <v>0</v>
      </c>
      <c r="G21" s="49">
        <f t="shared" si="3"/>
        <v>0</v>
      </c>
      <c r="H21" s="49">
        <f t="shared" si="3"/>
        <v>0</v>
      </c>
      <c r="I21" s="49">
        <f t="shared" si="3"/>
        <v>0</v>
      </c>
      <c r="J21" s="49">
        <f t="shared" si="3"/>
        <v>0</v>
      </c>
      <c r="K21" s="49">
        <f t="shared" si="3"/>
        <v>0</v>
      </c>
      <c r="L21" s="49">
        <f t="shared" si="3"/>
        <v>0</v>
      </c>
      <c r="M21" s="49">
        <f t="shared" si="3"/>
        <v>0</v>
      </c>
      <c r="N21" s="49">
        <f t="shared" si="3"/>
        <v>0</v>
      </c>
      <c r="O21" s="49">
        <f t="shared" si="3"/>
        <v>0</v>
      </c>
      <c r="P21" s="49">
        <f t="shared" si="3"/>
        <v>0</v>
      </c>
      <c r="Q21" s="49">
        <f t="shared" si="3"/>
        <v>0</v>
      </c>
      <c r="R21" s="49">
        <f t="shared" si="3"/>
        <v>0</v>
      </c>
      <c r="S21" s="49">
        <f t="shared" si="3"/>
        <v>0</v>
      </c>
      <c r="T21" s="49">
        <f t="shared" si="3"/>
        <v>0</v>
      </c>
      <c r="U21" s="49">
        <f t="shared" si="3"/>
        <v>0</v>
      </c>
      <c r="V21" s="49">
        <f t="shared" si="3"/>
        <v>0</v>
      </c>
      <c r="W21" s="49">
        <f t="shared" si="3"/>
        <v>0</v>
      </c>
      <c r="X21" s="49">
        <f t="shared" si="3"/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B21" s="49">
        <f t="shared" si="3"/>
        <v>0</v>
      </c>
      <c r="AC21" s="49">
        <f t="shared" si="3"/>
        <v>0</v>
      </c>
      <c r="AD21" s="49">
        <f t="shared" si="3"/>
        <v>0</v>
      </c>
      <c r="AE21" s="49">
        <f t="shared" si="3"/>
        <v>0</v>
      </c>
      <c r="AF21" s="49">
        <f t="shared" si="3"/>
        <v>0</v>
      </c>
    </row>
    <row r="22">
      <c r="B22" s="40" t="s">
        <v>38</v>
      </c>
      <c r="C22" s="46">
        <f t="shared" ref="C22:AF22" si="4">COUNTIF(C10:C19, TRUE)</f>
        <v>0</v>
      </c>
      <c r="D22" s="46">
        <f t="shared" si="4"/>
        <v>0</v>
      </c>
      <c r="E22" s="46">
        <f t="shared" si="4"/>
        <v>0</v>
      </c>
      <c r="F22" s="46">
        <f t="shared" si="4"/>
        <v>0</v>
      </c>
      <c r="G22" s="46">
        <f t="shared" si="4"/>
        <v>0</v>
      </c>
      <c r="H22" s="46">
        <f t="shared" si="4"/>
        <v>0</v>
      </c>
      <c r="I22" s="46">
        <f t="shared" si="4"/>
        <v>0</v>
      </c>
      <c r="J22" s="46">
        <f t="shared" si="4"/>
        <v>0</v>
      </c>
      <c r="K22" s="46">
        <f t="shared" si="4"/>
        <v>0</v>
      </c>
      <c r="L22" s="46">
        <f t="shared" si="4"/>
        <v>0</v>
      </c>
      <c r="M22" s="46">
        <f t="shared" si="4"/>
        <v>0</v>
      </c>
      <c r="N22" s="46">
        <f t="shared" si="4"/>
        <v>0</v>
      </c>
      <c r="O22" s="46">
        <f t="shared" si="4"/>
        <v>0</v>
      </c>
      <c r="P22" s="46">
        <f t="shared" si="4"/>
        <v>0</v>
      </c>
      <c r="Q22" s="46">
        <f t="shared" si="4"/>
        <v>0</v>
      </c>
      <c r="R22" s="46">
        <f t="shared" si="4"/>
        <v>0</v>
      </c>
      <c r="S22" s="46">
        <f t="shared" si="4"/>
        <v>0</v>
      </c>
      <c r="T22" s="46">
        <f t="shared" si="4"/>
        <v>0</v>
      </c>
      <c r="U22" s="46">
        <f t="shared" si="4"/>
        <v>0</v>
      </c>
      <c r="V22" s="46">
        <f t="shared" si="4"/>
        <v>0</v>
      </c>
      <c r="W22" s="46">
        <f t="shared" si="4"/>
        <v>0</v>
      </c>
      <c r="X22" s="46">
        <f t="shared" si="4"/>
        <v>0</v>
      </c>
      <c r="Y22" s="46">
        <f t="shared" si="4"/>
        <v>0</v>
      </c>
      <c r="Z22" s="46">
        <f t="shared" si="4"/>
        <v>0</v>
      </c>
      <c r="AA22" s="46">
        <f t="shared" si="4"/>
        <v>0</v>
      </c>
      <c r="AB22" s="46">
        <f t="shared" si="4"/>
        <v>0</v>
      </c>
      <c r="AC22" s="46">
        <f t="shared" si="4"/>
        <v>0</v>
      </c>
      <c r="AD22" s="46">
        <f t="shared" si="4"/>
        <v>0</v>
      </c>
      <c r="AE22" s="46">
        <f t="shared" si="4"/>
        <v>0</v>
      </c>
      <c r="AF22" s="46">
        <f t="shared" si="4"/>
        <v>0</v>
      </c>
    </row>
    <row r="23">
      <c r="B23" s="40" t="s">
        <v>39</v>
      </c>
      <c r="C23" s="46">
        <f t="shared" ref="C23:AF23" si="5">COUNTIF(C10:C19, FALSE)</f>
        <v>10</v>
      </c>
      <c r="D23" s="46">
        <f t="shared" si="5"/>
        <v>10</v>
      </c>
      <c r="E23" s="46">
        <f t="shared" si="5"/>
        <v>10</v>
      </c>
      <c r="F23" s="46">
        <f t="shared" si="5"/>
        <v>10</v>
      </c>
      <c r="G23" s="46">
        <f t="shared" si="5"/>
        <v>10</v>
      </c>
      <c r="H23" s="46">
        <f t="shared" si="5"/>
        <v>10</v>
      </c>
      <c r="I23" s="46">
        <f t="shared" si="5"/>
        <v>10</v>
      </c>
      <c r="J23" s="46">
        <f t="shared" si="5"/>
        <v>10</v>
      </c>
      <c r="K23" s="46">
        <f t="shared" si="5"/>
        <v>10</v>
      </c>
      <c r="L23" s="46">
        <f t="shared" si="5"/>
        <v>10</v>
      </c>
      <c r="M23" s="46">
        <f t="shared" si="5"/>
        <v>10</v>
      </c>
      <c r="N23" s="46">
        <f t="shared" si="5"/>
        <v>10</v>
      </c>
      <c r="O23" s="46">
        <f t="shared" si="5"/>
        <v>10</v>
      </c>
      <c r="P23" s="46">
        <f t="shared" si="5"/>
        <v>10</v>
      </c>
      <c r="Q23" s="46">
        <f t="shared" si="5"/>
        <v>10</v>
      </c>
      <c r="R23" s="46">
        <f t="shared" si="5"/>
        <v>10</v>
      </c>
      <c r="S23" s="46">
        <f t="shared" si="5"/>
        <v>10</v>
      </c>
      <c r="T23" s="46">
        <f t="shared" si="5"/>
        <v>10</v>
      </c>
      <c r="U23" s="46">
        <f t="shared" si="5"/>
        <v>10</v>
      </c>
      <c r="V23" s="46">
        <f t="shared" si="5"/>
        <v>10</v>
      </c>
      <c r="W23" s="46">
        <f t="shared" si="5"/>
        <v>10</v>
      </c>
      <c r="X23" s="46">
        <f t="shared" si="5"/>
        <v>10</v>
      </c>
      <c r="Y23" s="46">
        <f t="shared" si="5"/>
        <v>10</v>
      </c>
      <c r="Z23" s="46">
        <f t="shared" si="5"/>
        <v>10</v>
      </c>
      <c r="AA23" s="46">
        <f t="shared" si="5"/>
        <v>10</v>
      </c>
      <c r="AB23" s="46">
        <f t="shared" si="5"/>
        <v>10</v>
      </c>
      <c r="AC23" s="46">
        <f t="shared" si="5"/>
        <v>10</v>
      </c>
      <c r="AD23" s="46">
        <f t="shared" si="5"/>
        <v>10</v>
      </c>
      <c r="AE23" s="46">
        <f t="shared" si="5"/>
        <v>10</v>
      </c>
      <c r="AF23" s="46">
        <f t="shared" si="5"/>
        <v>10</v>
      </c>
    </row>
    <row r="33">
      <c r="B33" s="50"/>
      <c r="C33" s="41" t="s">
        <v>40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>
      <c r="B34" s="40" t="s">
        <v>41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</row>
    <row r="35">
      <c r="B35" s="40" t="s">
        <v>42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</row>
    <row r="36">
      <c r="C36" s="53">
        <f t="shared" ref="C36:AF36" si="6">(C35+C34)/20</f>
        <v>0</v>
      </c>
      <c r="D36" s="53">
        <f t="shared" si="6"/>
        <v>0</v>
      </c>
      <c r="E36" s="53">
        <f t="shared" si="6"/>
        <v>0</v>
      </c>
      <c r="F36" s="53">
        <f t="shared" si="6"/>
        <v>0</v>
      </c>
      <c r="G36" s="53">
        <f t="shared" si="6"/>
        <v>0</v>
      </c>
      <c r="H36" s="53">
        <f t="shared" si="6"/>
        <v>0</v>
      </c>
      <c r="I36" s="53">
        <f t="shared" si="6"/>
        <v>0</v>
      </c>
      <c r="J36" s="53">
        <f t="shared" si="6"/>
        <v>0</v>
      </c>
      <c r="K36" s="53">
        <f t="shared" si="6"/>
        <v>0</v>
      </c>
      <c r="L36" s="53">
        <f t="shared" si="6"/>
        <v>0</v>
      </c>
      <c r="M36" s="53">
        <f t="shared" si="6"/>
        <v>0</v>
      </c>
      <c r="N36" s="53">
        <f t="shared" si="6"/>
        <v>0</v>
      </c>
      <c r="O36" s="53">
        <f t="shared" si="6"/>
        <v>0</v>
      </c>
      <c r="P36" s="53">
        <f t="shared" si="6"/>
        <v>0</v>
      </c>
      <c r="Q36" s="53">
        <f t="shared" si="6"/>
        <v>0</v>
      </c>
      <c r="R36" s="53">
        <f t="shared" si="6"/>
        <v>0</v>
      </c>
      <c r="S36" s="53">
        <f t="shared" si="6"/>
        <v>0</v>
      </c>
      <c r="T36" s="53">
        <f t="shared" si="6"/>
        <v>0</v>
      </c>
      <c r="U36" s="53">
        <f t="shared" si="6"/>
        <v>0</v>
      </c>
      <c r="V36" s="53">
        <f t="shared" si="6"/>
        <v>0</v>
      </c>
      <c r="W36" s="53">
        <f t="shared" si="6"/>
        <v>0</v>
      </c>
      <c r="X36" s="53">
        <f t="shared" si="6"/>
        <v>0</v>
      </c>
      <c r="Y36" s="53">
        <f t="shared" si="6"/>
        <v>0</v>
      </c>
      <c r="Z36" s="53">
        <f t="shared" si="6"/>
        <v>0</v>
      </c>
      <c r="AA36" s="53">
        <f t="shared" si="6"/>
        <v>0</v>
      </c>
      <c r="AB36" s="53">
        <f t="shared" si="6"/>
        <v>0</v>
      </c>
      <c r="AC36" s="53">
        <f t="shared" si="6"/>
        <v>0</v>
      </c>
      <c r="AD36" s="53">
        <f t="shared" si="6"/>
        <v>0</v>
      </c>
      <c r="AE36" s="53">
        <f t="shared" si="6"/>
        <v>0</v>
      </c>
      <c r="AF36" s="53">
        <f t="shared" si="6"/>
        <v>0</v>
      </c>
    </row>
  </sheetData>
  <mergeCells count="28">
    <mergeCell ref="AB3:AD3"/>
    <mergeCell ref="AB4:AD4"/>
    <mergeCell ref="B3:H4"/>
    <mergeCell ref="J3:N3"/>
    <mergeCell ref="P3:T3"/>
    <mergeCell ref="V3:Z3"/>
    <mergeCell ref="J4:N4"/>
    <mergeCell ref="P4:T4"/>
    <mergeCell ref="V4:Z4"/>
    <mergeCell ref="B7:B9"/>
    <mergeCell ref="C7:I7"/>
    <mergeCell ref="J7:P7"/>
    <mergeCell ref="Q7:W7"/>
    <mergeCell ref="X7:AD7"/>
    <mergeCell ref="AE7:AF7"/>
    <mergeCell ref="AH7:AL8"/>
    <mergeCell ref="AJ16:AL16"/>
    <mergeCell ref="AJ17:AL17"/>
    <mergeCell ref="AJ18:AL18"/>
    <mergeCell ref="AJ19:AL19"/>
    <mergeCell ref="C33:AF33"/>
    <mergeCell ref="AJ9:AL9"/>
    <mergeCell ref="AJ10:AL10"/>
    <mergeCell ref="AJ11:AL11"/>
    <mergeCell ref="AJ12:AL12"/>
    <mergeCell ref="AJ13:AL13"/>
    <mergeCell ref="AJ14:AL14"/>
    <mergeCell ref="AJ15:AL15"/>
  </mergeCells>
  <dataValidations>
    <dataValidation type="list" allowBlank="1" showErrorMessage="1" sqref="C34:AF35">
      <formula1>"10,9,8,7,6,5,4,3,2,1,0"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23.25"/>
    <col customWidth="1" min="3" max="34" width="4.13"/>
    <col customWidth="1" min="35" max="35" width="10.0"/>
    <col customWidth="1" min="36" max="36" width="8.0"/>
    <col customWidth="1" min="37" max="40" width="4.13"/>
  </cols>
  <sheetData>
    <row r="2">
      <c r="B2" s="64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6"/>
      <c r="AN2" s="9"/>
    </row>
    <row r="3">
      <c r="B3" s="10" t="s">
        <v>62</v>
      </c>
      <c r="I3" s="67"/>
      <c r="J3" s="68" t="s">
        <v>70</v>
      </c>
      <c r="O3" s="69"/>
      <c r="P3" s="68" t="s">
        <v>10</v>
      </c>
      <c r="U3" s="69"/>
      <c r="V3" s="68" t="s">
        <v>11</v>
      </c>
      <c r="AA3" s="69"/>
      <c r="AB3" s="68" t="s">
        <v>12</v>
      </c>
      <c r="AE3" s="12"/>
      <c r="AF3" s="12"/>
      <c r="AG3" s="12"/>
      <c r="AH3" s="70"/>
      <c r="AI3" s="71"/>
      <c r="AJ3" s="71"/>
      <c r="AK3" s="71"/>
      <c r="AL3" s="71"/>
      <c r="AM3" s="72"/>
      <c r="AN3" s="9"/>
    </row>
    <row r="4">
      <c r="B4" s="17"/>
      <c r="I4" s="67"/>
      <c r="J4" s="71">
        <f>COUNTA($B$10:$B$19)</f>
        <v>0</v>
      </c>
      <c r="O4" s="70"/>
      <c r="P4" s="71">
        <f>COUNTIF($C$10:$AF$19, TRUE)</f>
        <v>0</v>
      </c>
      <c r="U4" s="70"/>
      <c r="V4" s="73" t="str">
        <f>IFERROR(__xludf.DUMMYFUNCTION("SPARKLINE(AB4, {""charttype"",""bar"";""max"",1;""color1"",""#90EE90""})"),"")</f>
        <v/>
      </c>
      <c r="AA4" s="70"/>
      <c r="AB4" s="74">
        <f>(P4)/(COUNTA($C$10:$C$19)*COUNTA($C$10:$AG$10))</f>
        <v>0</v>
      </c>
      <c r="AE4" s="74"/>
      <c r="AF4" s="74"/>
      <c r="AG4" s="74"/>
      <c r="AH4" s="70"/>
      <c r="AI4" s="71"/>
      <c r="AJ4" s="71"/>
      <c r="AK4" s="71"/>
      <c r="AL4" s="71"/>
      <c r="AM4" s="72"/>
      <c r="AN4" s="9"/>
    </row>
    <row r="5">
      <c r="B5" s="75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7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8"/>
      <c r="AN5" s="9"/>
    </row>
    <row r="6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>
      <c r="B7" s="24" t="s">
        <v>13</v>
      </c>
      <c r="C7" s="25" t="s">
        <v>14</v>
      </c>
      <c r="D7" s="26"/>
      <c r="E7" s="26"/>
      <c r="F7" s="26"/>
      <c r="G7" s="26"/>
      <c r="H7" s="26"/>
      <c r="I7" s="27"/>
      <c r="J7" s="28" t="s">
        <v>15</v>
      </c>
      <c r="K7" s="26"/>
      <c r="L7" s="26"/>
      <c r="M7" s="26"/>
      <c r="N7" s="26"/>
      <c r="O7" s="26"/>
      <c r="P7" s="27"/>
      <c r="Q7" s="25" t="s">
        <v>16</v>
      </c>
      <c r="R7" s="26"/>
      <c r="S7" s="26"/>
      <c r="T7" s="26"/>
      <c r="U7" s="26"/>
      <c r="V7" s="26"/>
      <c r="W7" s="27"/>
      <c r="X7" s="28" t="s">
        <v>17</v>
      </c>
      <c r="Y7" s="26"/>
      <c r="Z7" s="26"/>
      <c r="AA7" s="26"/>
      <c r="AB7" s="26"/>
      <c r="AC7" s="26"/>
      <c r="AD7" s="27"/>
      <c r="AE7" s="29"/>
      <c r="AF7" s="27"/>
      <c r="AG7" s="79"/>
      <c r="AH7" s="9"/>
      <c r="AI7" s="30" t="s">
        <v>18</v>
      </c>
      <c r="AJ7" s="31"/>
      <c r="AK7" s="31"/>
      <c r="AL7" s="31"/>
      <c r="AM7" s="32"/>
    </row>
    <row r="8">
      <c r="B8" s="33"/>
      <c r="C8" s="34" t="s">
        <v>25</v>
      </c>
      <c r="D8" s="34" t="s">
        <v>19</v>
      </c>
      <c r="E8" s="34" t="s">
        <v>20</v>
      </c>
      <c r="F8" s="34" t="s">
        <v>21</v>
      </c>
      <c r="G8" s="34" t="s">
        <v>22</v>
      </c>
      <c r="H8" s="34" t="s">
        <v>23</v>
      </c>
      <c r="I8" s="34" t="s">
        <v>24</v>
      </c>
      <c r="J8" s="35" t="s">
        <v>25</v>
      </c>
      <c r="K8" s="35" t="s">
        <v>19</v>
      </c>
      <c r="L8" s="35" t="s">
        <v>20</v>
      </c>
      <c r="M8" s="35" t="s">
        <v>21</v>
      </c>
      <c r="N8" s="35" t="s">
        <v>22</v>
      </c>
      <c r="O8" s="35" t="s">
        <v>23</v>
      </c>
      <c r="P8" s="35" t="s">
        <v>24</v>
      </c>
      <c r="Q8" s="34" t="s">
        <v>25</v>
      </c>
      <c r="R8" s="34" t="s">
        <v>19</v>
      </c>
      <c r="S8" s="34" t="s">
        <v>20</v>
      </c>
      <c r="T8" s="34" t="s">
        <v>21</v>
      </c>
      <c r="U8" s="34" t="s">
        <v>22</v>
      </c>
      <c r="V8" s="34" t="s">
        <v>23</v>
      </c>
      <c r="W8" s="34" t="s">
        <v>24</v>
      </c>
      <c r="X8" s="35" t="s">
        <v>25</v>
      </c>
      <c r="Y8" s="35" t="s">
        <v>19</v>
      </c>
      <c r="Z8" s="35" t="s">
        <v>20</v>
      </c>
      <c r="AA8" s="35" t="s">
        <v>21</v>
      </c>
      <c r="AB8" s="35" t="s">
        <v>22</v>
      </c>
      <c r="AC8" s="35" t="s">
        <v>23</v>
      </c>
      <c r="AD8" s="35" t="s">
        <v>24</v>
      </c>
      <c r="AE8" s="80" t="s">
        <v>25</v>
      </c>
      <c r="AF8" s="80" t="s">
        <v>19</v>
      </c>
      <c r="AG8" s="34" t="s">
        <v>20</v>
      </c>
      <c r="AH8" s="9"/>
      <c r="AI8" s="36"/>
      <c r="AJ8" s="37"/>
      <c r="AK8" s="37"/>
      <c r="AL8" s="37"/>
      <c r="AM8" s="38"/>
    </row>
    <row r="9">
      <c r="B9" s="39"/>
      <c r="C9" s="34">
        <v>1.0</v>
      </c>
      <c r="D9" s="34">
        <v>2.0</v>
      </c>
      <c r="E9" s="34">
        <v>3.0</v>
      </c>
      <c r="F9" s="34">
        <v>4.0</v>
      </c>
      <c r="G9" s="34">
        <v>5.0</v>
      </c>
      <c r="H9" s="34">
        <v>6.0</v>
      </c>
      <c r="I9" s="34">
        <v>7.0</v>
      </c>
      <c r="J9" s="35">
        <v>8.0</v>
      </c>
      <c r="K9" s="35">
        <v>9.0</v>
      </c>
      <c r="L9" s="35">
        <v>10.0</v>
      </c>
      <c r="M9" s="35">
        <v>11.0</v>
      </c>
      <c r="N9" s="35">
        <v>12.0</v>
      </c>
      <c r="O9" s="35">
        <v>13.0</v>
      </c>
      <c r="P9" s="35">
        <v>14.0</v>
      </c>
      <c r="Q9" s="34">
        <v>15.0</v>
      </c>
      <c r="R9" s="34">
        <v>16.0</v>
      </c>
      <c r="S9" s="34">
        <v>17.0</v>
      </c>
      <c r="T9" s="34">
        <v>18.0</v>
      </c>
      <c r="U9" s="34">
        <v>19.0</v>
      </c>
      <c r="V9" s="34">
        <v>20.0</v>
      </c>
      <c r="W9" s="34">
        <v>21.0</v>
      </c>
      <c r="X9" s="35">
        <v>22.0</v>
      </c>
      <c r="Y9" s="35">
        <v>23.0</v>
      </c>
      <c r="Z9" s="35">
        <v>24.0</v>
      </c>
      <c r="AA9" s="35">
        <v>25.0</v>
      </c>
      <c r="AB9" s="35">
        <v>26.0</v>
      </c>
      <c r="AC9" s="35">
        <v>27.0</v>
      </c>
      <c r="AD9" s="35">
        <v>28.0</v>
      </c>
      <c r="AE9" s="34">
        <v>29.0</v>
      </c>
      <c r="AF9" s="25">
        <v>30.0</v>
      </c>
      <c r="AG9" s="81">
        <v>31.0</v>
      </c>
      <c r="AH9" s="9"/>
      <c r="AI9" s="40" t="s">
        <v>26</v>
      </c>
      <c r="AJ9" s="40" t="s">
        <v>27</v>
      </c>
      <c r="AK9" s="41" t="s">
        <v>11</v>
      </c>
      <c r="AL9" s="26"/>
      <c r="AM9" s="27"/>
    </row>
    <row r="10">
      <c r="B10" s="42"/>
      <c r="C10" s="82" t="b">
        <v>0</v>
      </c>
      <c r="D10" s="82" t="b">
        <v>0</v>
      </c>
      <c r="E10" s="82" t="b">
        <v>0</v>
      </c>
      <c r="F10" s="82" t="b">
        <v>0</v>
      </c>
      <c r="G10" s="82" t="b">
        <v>0</v>
      </c>
      <c r="H10" s="82" t="b">
        <v>0</v>
      </c>
      <c r="I10" s="82" t="b">
        <v>0</v>
      </c>
      <c r="J10" s="44" t="b">
        <v>0</v>
      </c>
      <c r="K10" s="44" t="b">
        <v>0</v>
      </c>
      <c r="L10" s="44" t="b">
        <v>0</v>
      </c>
      <c r="M10" s="44" t="b">
        <v>0</v>
      </c>
      <c r="N10" s="44" t="b">
        <v>0</v>
      </c>
      <c r="O10" s="44" t="b">
        <v>0</v>
      </c>
      <c r="P10" s="44" t="b">
        <v>0</v>
      </c>
      <c r="Q10" s="82" t="b">
        <v>0</v>
      </c>
      <c r="R10" s="82" t="b">
        <v>0</v>
      </c>
      <c r="S10" s="82" t="b">
        <v>0</v>
      </c>
      <c r="T10" s="82" t="b">
        <v>0</v>
      </c>
      <c r="U10" s="82" t="b">
        <v>0</v>
      </c>
      <c r="V10" s="82" t="b">
        <v>0</v>
      </c>
      <c r="W10" s="82" t="b">
        <v>0</v>
      </c>
      <c r="X10" s="44" t="b">
        <v>0</v>
      </c>
      <c r="Y10" s="44" t="b">
        <v>0</v>
      </c>
      <c r="Z10" s="44" t="b">
        <v>0</v>
      </c>
      <c r="AA10" s="44" t="b">
        <v>0</v>
      </c>
      <c r="AB10" s="44" t="b">
        <v>0</v>
      </c>
      <c r="AC10" s="44" t="b">
        <v>0</v>
      </c>
      <c r="AD10" s="44" t="b">
        <v>0</v>
      </c>
      <c r="AE10" s="43" t="b">
        <v>0</v>
      </c>
      <c r="AF10" s="43" t="b">
        <v>0</v>
      </c>
      <c r="AG10" s="43" t="b">
        <v>0</v>
      </c>
      <c r="AH10" s="9"/>
      <c r="AI10" s="45">
        <f t="shared" ref="AI10:AI19" si="1">31</f>
        <v>31</v>
      </c>
      <c r="AJ10" s="46">
        <f t="shared" ref="AJ10:AJ19" si="2">COUNTIF(C10:AG10, TRUE)</f>
        <v>0</v>
      </c>
      <c r="AK10" s="29" t="str">
        <f>IFERROR(__xludf.DUMMYFUNCTION("SPARKLINE(AJ10/AI10, {""charttype"",""bar"";""max"",1;""color1"",""#90EE90""})"),"")</f>
        <v/>
      </c>
      <c r="AL10" s="26"/>
      <c r="AM10" s="27"/>
      <c r="AN10" s="9"/>
    </row>
    <row r="11">
      <c r="B11" s="42"/>
      <c r="C11" s="82" t="b">
        <v>0</v>
      </c>
      <c r="D11" s="82" t="b">
        <v>0</v>
      </c>
      <c r="E11" s="82" t="b">
        <v>0</v>
      </c>
      <c r="F11" s="82" t="b">
        <v>0</v>
      </c>
      <c r="G11" s="82" t="b">
        <v>0</v>
      </c>
      <c r="H11" s="82" t="b">
        <v>0</v>
      </c>
      <c r="I11" s="82" t="b">
        <v>0</v>
      </c>
      <c r="J11" s="44" t="b">
        <v>0</v>
      </c>
      <c r="K11" s="44" t="b">
        <v>0</v>
      </c>
      <c r="L11" s="44" t="b">
        <v>0</v>
      </c>
      <c r="M11" s="44" t="b">
        <v>0</v>
      </c>
      <c r="N11" s="44" t="b">
        <v>0</v>
      </c>
      <c r="O11" s="44" t="b">
        <v>0</v>
      </c>
      <c r="P11" s="44" t="b">
        <v>0</v>
      </c>
      <c r="Q11" s="82" t="b">
        <v>0</v>
      </c>
      <c r="R11" s="82" t="b">
        <v>0</v>
      </c>
      <c r="S11" s="82" t="b">
        <v>0</v>
      </c>
      <c r="T11" s="82" t="b">
        <v>0</v>
      </c>
      <c r="U11" s="82" t="b">
        <v>0</v>
      </c>
      <c r="V11" s="82" t="b">
        <v>0</v>
      </c>
      <c r="W11" s="82" t="b">
        <v>0</v>
      </c>
      <c r="X11" s="44" t="b">
        <v>0</v>
      </c>
      <c r="Y11" s="44" t="b">
        <v>0</v>
      </c>
      <c r="Z11" s="44" t="b">
        <v>0</v>
      </c>
      <c r="AA11" s="44" t="b">
        <v>0</v>
      </c>
      <c r="AB11" s="44" t="b">
        <v>0</v>
      </c>
      <c r="AC11" s="44" t="b">
        <v>0</v>
      </c>
      <c r="AD11" s="44" t="b">
        <v>0</v>
      </c>
      <c r="AE11" s="43" t="b">
        <v>0</v>
      </c>
      <c r="AF11" s="43" t="b">
        <v>0</v>
      </c>
      <c r="AG11" s="43" t="b">
        <v>0</v>
      </c>
      <c r="AH11" s="9"/>
      <c r="AI11" s="45">
        <f t="shared" si="1"/>
        <v>31</v>
      </c>
      <c r="AJ11" s="46">
        <f t="shared" si="2"/>
        <v>0</v>
      </c>
      <c r="AK11" s="29" t="str">
        <f>IFERROR(__xludf.DUMMYFUNCTION("SPARKLINE(AJ11/AI11, {""charttype"",""bar"";""max"",1;""color1"",""#90EE90""})"),"")</f>
        <v/>
      </c>
      <c r="AL11" s="26"/>
      <c r="AM11" s="27"/>
      <c r="AN11" s="9"/>
    </row>
    <row r="12">
      <c r="B12" s="42"/>
      <c r="C12" s="82" t="b">
        <v>0</v>
      </c>
      <c r="D12" s="82" t="b">
        <v>0</v>
      </c>
      <c r="E12" s="82" t="b">
        <v>0</v>
      </c>
      <c r="F12" s="82" t="b">
        <v>0</v>
      </c>
      <c r="G12" s="82" t="b">
        <v>0</v>
      </c>
      <c r="H12" s="82" t="b">
        <v>0</v>
      </c>
      <c r="I12" s="82" t="b">
        <v>0</v>
      </c>
      <c r="J12" s="44" t="b">
        <v>0</v>
      </c>
      <c r="K12" s="44" t="b">
        <v>0</v>
      </c>
      <c r="L12" s="44" t="b">
        <v>0</v>
      </c>
      <c r="M12" s="44" t="b">
        <v>0</v>
      </c>
      <c r="N12" s="44" t="b">
        <v>0</v>
      </c>
      <c r="O12" s="44" t="b">
        <v>0</v>
      </c>
      <c r="P12" s="44" t="b">
        <v>0</v>
      </c>
      <c r="Q12" s="82" t="b">
        <v>0</v>
      </c>
      <c r="R12" s="82" t="b">
        <v>0</v>
      </c>
      <c r="S12" s="82" t="b">
        <v>0</v>
      </c>
      <c r="T12" s="82" t="b">
        <v>0</v>
      </c>
      <c r="U12" s="82" t="b">
        <v>0</v>
      </c>
      <c r="V12" s="82" t="b">
        <v>0</v>
      </c>
      <c r="W12" s="82" t="b">
        <v>0</v>
      </c>
      <c r="X12" s="44" t="b">
        <v>0</v>
      </c>
      <c r="Y12" s="44" t="b">
        <v>0</v>
      </c>
      <c r="Z12" s="44" t="b">
        <v>0</v>
      </c>
      <c r="AA12" s="44" t="b">
        <v>0</v>
      </c>
      <c r="AB12" s="44" t="b">
        <v>0</v>
      </c>
      <c r="AC12" s="44" t="b">
        <v>0</v>
      </c>
      <c r="AD12" s="44" t="b">
        <v>0</v>
      </c>
      <c r="AE12" s="43" t="b">
        <v>0</v>
      </c>
      <c r="AF12" s="43" t="b">
        <v>0</v>
      </c>
      <c r="AG12" s="43" t="b">
        <v>0</v>
      </c>
      <c r="AH12" s="9"/>
      <c r="AI12" s="45">
        <f t="shared" si="1"/>
        <v>31</v>
      </c>
      <c r="AJ12" s="46">
        <f t="shared" si="2"/>
        <v>0</v>
      </c>
      <c r="AK12" s="29" t="str">
        <f>IFERROR(__xludf.DUMMYFUNCTION("SPARKLINE(AJ12/AI12, {""charttype"",""bar"";""max"",1;""color1"",""#90EE90""})"),"")</f>
        <v/>
      </c>
      <c r="AL12" s="26"/>
      <c r="AM12" s="27"/>
      <c r="AN12" s="9"/>
    </row>
    <row r="13">
      <c r="B13" s="42"/>
      <c r="C13" s="82" t="b">
        <v>0</v>
      </c>
      <c r="D13" s="82" t="b">
        <v>0</v>
      </c>
      <c r="E13" s="82" t="b">
        <v>0</v>
      </c>
      <c r="F13" s="82" t="b">
        <v>0</v>
      </c>
      <c r="G13" s="82" t="b">
        <v>0</v>
      </c>
      <c r="H13" s="82" t="b">
        <v>0</v>
      </c>
      <c r="I13" s="82" t="b">
        <v>0</v>
      </c>
      <c r="J13" s="44" t="b">
        <v>0</v>
      </c>
      <c r="K13" s="44" t="b">
        <v>0</v>
      </c>
      <c r="L13" s="44" t="b">
        <v>0</v>
      </c>
      <c r="M13" s="44" t="b">
        <v>0</v>
      </c>
      <c r="N13" s="44" t="b">
        <v>0</v>
      </c>
      <c r="O13" s="44" t="b">
        <v>0</v>
      </c>
      <c r="P13" s="44" t="b">
        <v>0</v>
      </c>
      <c r="Q13" s="82" t="b">
        <v>0</v>
      </c>
      <c r="R13" s="82" t="b">
        <v>0</v>
      </c>
      <c r="S13" s="82" t="b">
        <v>0</v>
      </c>
      <c r="T13" s="82" t="b">
        <v>0</v>
      </c>
      <c r="U13" s="82" t="b">
        <v>0</v>
      </c>
      <c r="V13" s="82" t="b">
        <v>0</v>
      </c>
      <c r="W13" s="82" t="b">
        <v>0</v>
      </c>
      <c r="X13" s="44" t="b">
        <v>0</v>
      </c>
      <c r="Y13" s="44" t="b">
        <v>0</v>
      </c>
      <c r="Z13" s="44" t="b">
        <v>0</v>
      </c>
      <c r="AA13" s="44" t="b">
        <v>0</v>
      </c>
      <c r="AB13" s="44" t="b">
        <v>0</v>
      </c>
      <c r="AC13" s="44" t="b">
        <v>0</v>
      </c>
      <c r="AD13" s="44" t="b">
        <v>0</v>
      </c>
      <c r="AE13" s="43" t="b">
        <v>0</v>
      </c>
      <c r="AF13" s="43" t="b">
        <v>0</v>
      </c>
      <c r="AG13" s="43" t="b">
        <v>0</v>
      </c>
      <c r="AH13" s="9"/>
      <c r="AI13" s="45">
        <f t="shared" si="1"/>
        <v>31</v>
      </c>
      <c r="AJ13" s="46">
        <f t="shared" si="2"/>
        <v>0</v>
      </c>
      <c r="AK13" s="29" t="str">
        <f>IFERROR(__xludf.DUMMYFUNCTION("SPARKLINE(AJ13/AI13, {""charttype"",""bar"";""max"",1;""color1"",""#90EE90""})"),"")</f>
        <v/>
      </c>
      <c r="AL13" s="26"/>
      <c r="AM13" s="27"/>
      <c r="AN13" s="9"/>
    </row>
    <row r="14">
      <c r="B14" s="42"/>
      <c r="C14" s="82" t="b">
        <v>0</v>
      </c>
      <c r="D14" s="82" t="b">
        <v>0</v>
      </c>
      <c r="E14" s="82" t="b">
        <v>0</v>
      </c>
      <c r="F14" s="82" t="b">
        <v>0</v>
      </c>
      <c r="G14" s="82" t="b">
        <v>0</v>
      </c>
      <c r="H14" s="82" t="b">
        <v>0</v>
      </c>
      <c r="I14" s="82" t="b">
        <v>0</v>
      </c>
      <c r="J14" s="44" t="b">
        <v>0</v>
      </c>
      <c r="K14" s="44" t="b">
        <v>0</v>
      </c>
      <c r="L14" s="44" t="b">
        <v>0</v>
      </c>
      <c r="M14" s="44" t="b">
        <v>0</v>
      </c>
      <c r="N14" s="44" t="b">
        <v>0</v>
      </c>
      <c r="O14" s="44" t="b">
        <v>0</v>
      </c>
      <c r="P14" s="44" t="b">
        <v>0</v>
      </c>
      <c r="Q14" s="82" t="b">
        <v>0</v>
      </c>
      <c r="R14" s="82" t="b">
        <v>0</v>
      </c>
      <c r="S14" s="82" t="b">
        <v>0</v>
      </c>
      <c r="T14" s="82" t="b">
        <v>0</v>
      </c>
      <c r="U14" s="82" t="b">
        <v>0</v>
      </c>
      <c r="V14" s="82" t="b">
        <v>0</v>
      </c>
      <c r="W14" s="82" t="b">
        <v>0</v>
      </c>
      <c r="X14" s="44" t="b">
        <v>0</v>
      </c>
      <c r="Y14" s="44" t="b">
        <v>0</v>
      </c>
      <c r="Z14" s="44" t="b">
        <v>0</v>
      </c>
      <c r="AA14" s="44" t="b">
        <v>0</v>
      </c>
      <c r="AB14" s="44" t="b">
        <v>0</v>
      </c>
      <c r="AC14" s="44" t="b">
        <v>0</v>
      </c>
      <c r="AD14" s="44" t="b">
        <v>0</v>
      </c>
      <c r="AE14" s="43" t="b">
        <v>0</v>
      </c>
      <c r="AF14" s="43" t="b">
        <v>0</v>
      </c>
      <c r="AG14" s="43" t="b">
        <v>0</v>
      </c>
      <c r="AH14" s="9"/>
      <c r="AI14" s="45">
        <f t="shared" si="1"/>
        <v>31</v>
      </c>
      <c r="AJ14" s="46">
        <f t="shared" si="2"/>
        <v>0</v>
      </c>
      <c r="AK14" s="29" t="str">
        <f>IFERROR(__xludf.DUMMYFUNCTION("SPARKLINE(AJ14/AI14, {""charttype"",""bar"";""max"",1;""color1"",""#90EE90""})"),"")</f>
        <v/>
      </c>
      <c r="AL14" s="26"/>
      <c r="AM14" s="27"/>
      <c r="AN14" s="9"/>
    </row>
    <row r="15">
      <c r="B15" s="42"/>
      <c r="C15" s="82" t="b">
        <v>0</v>
      </c>
      <c r="D15" s="82" t="b">
        <v>0</v>
      </c>
      <c r="E15" s="82" t="b">
        <v>0</v>
      </c>
      <c r="F15" s="82" t="b">
        <v>0</v>
      </c>
      <c r="G15" s="82" t="b">
        <v>0</v>
      </c>
      <c r="H15" s="82" t="b">
        <v>0</v>
      </c>
      <c r="I15" s="82" t="b">
        <v>0</v>
      </c>
      <c r="J15" s="44" t="b">
        <v>0</v>
      </c>
      <c r="K15" s="44" t="b">
        <v>0</v>
      </c>
      <c r="L15" s="44" t="b">
        <v>0</v>
      </c>
      <c r="M15" s="44" t="b">
        <v>0</v>
      </c>
      <c r="N15" s="44" t="b">
        <v>0</v>
      </c>
      <c r="O15" s="44" t="b">
        <v>0</v>
      </c>
      <c r="P15" s="44" t="b">
        <v>0</v>
      </c>
      <c r="Q15" s="82" t="b">
        <v>0</v>
      </c>
      <c r="R15" s="82" t="b">
        <v>0</v>
      </c>
      <c r="S15" s="82" t="b">
        <v>0</v>
      </c>
      <c r="T15" s="82" t="b">
        <v>0</v>
      </c>
      <c r="U15" s="82" t="b">
        <v>0</v>
      </c>
      <c r="V15" s="82" t="b">
        <v>0</v>
      </c>
      <c r="W15" s="82" t="b">
        <v>0</v>
      </c>
      <c r="X15" s="44" t="b">
        <v>0</v>
      </c>
      <c r="Y15" s="44" t="b">
        <v>0</v>
      </c>
      <c r="Z15" s="44" t="b">
        <v>0</v>
      </c>
      <c r="AA15" s="44" t="b">
        <v>0</v>
      </c>
      <c r="AB15" s="44" t="b">
        <v>0</v>
      </c>
      <c r="AC15" s="44" t="b">
        <v>0</v>
      </c>
      <c r="AD15" s="44" t="b">
        <v>0</v>
      </c>
      <c r="AE15" s="43" t="b">
        <v>0</v>
      </c>
      <c r="AF15" s="43" t="b">
        <v>0</v>
      </c>
      <c r="AG15" s="43" t="b">
        <v>0</v>
      </c>
      <c r="AH15" s="9"/>
      <c r="AI15" s="45">
        <f t="shared" si="1"/>
        <v>31</v>
      </c>
      <c r="AJ15" s="46">
        <f t="shared" si="2"/>
        <v>0</v>
      </c>
      <c r="AK15" s="29" t="str">
        <f>IFERROR(__xludf.DUMMYFUNCTION("SPARKLINE(AJ15/AI15, {""charttype"",""bar"";""max"",1;""color1"",""#90EE90""})"),"")</f>
        <v/>
      </c>
      <c r="AL15" s="26"/>
      <c r="AM15" s="27"/>
      <c r="AN15" s="9"/>
    </row>
    <row r="16">
      <c r="B16" s="42"/>
      <c r="C16" s="82" t="b">
        <v>0</v>
      </c>
      <c r="D16" s="82" t="b">
        <v>0</v>
      </c>
      <c r="E16" s="82" t="b">
        <v>0</v>
      </c>
      <c r="F16" s="82" t="b">
        <v>0</v>
      </c>
      <c r="G16" s="82" t="b">
        <v>0</v>
      </c>
      <c r="H16" s="82" t="b">
        <v>0</v>
      </c>
      <c r="I16" s="82" t="b">
        <v>0</v>
      </c>
      <c r="J16" s="44" t="b">
        <v>0</v>
      </c>
      <c r="K16" s="44" t="b">
        <v>0</v>
      </c>
      <c r="L16" s="44" t="b">
        <v>0</v>
      </c>
      <c r="M16" s="44" t="b">
        <v>0</v>
      </c>
      <c r="N16" s="44" t="b">
        <v>0</v>
      </c>
      <c r="O16" s="44" t="b">
        <v>0</v>
      </c>
      <c r="P16" s="44" t="b">
        <v>0</v>
      </c>
      <c r="Q16" s="82" t="b">
        <v>0</v>
      </c>
      <c r="R16" s="82" t="b">
        <v>0</v>
      </c>
      <c r="S16" s="82" t="b">
        <v>0</v>
      </c>
      <c r="T16" s="82" t="b">
        <v>0</v>
      </c>
      <c r="U16" s="82" t="b">
        <v>0</v>
      </c>
      <c r="V16" s="82" t="b">
        <v>0</v>
      </c>
      <c r="W16" s="82" t="b">
        <v>0</v>
      </c>
      <c r="X16" s="44" t="b">
        <v>0</v>
      </c>
      <c r="Y16" s="44" t="b">
        <v>0</v>
      </c>
      <c r="Z16" s="44" t="b">
        <v>0</v>
      </c>
      <c r="AA16" s="44" t="b">
        <v>0</v>
      </c>
      <c r="AB16" s="44" t="b">
        <v>0</v>
      </c>
      <c r="AC16" s="44" t="b">
        <v>0</v>
      </c>
      <c r="AD16" s="44" t="b">
        <v>0</v>
      </c>
      <c r="AE16" s="43" t="b">
        <v>0</v>
      </c>
      <c r="AF16" s="43" t="b">
        <v>0</v>
      </c>
      <c r="AG16" s="43" t="b">
        <v>0</v>
      </c>
      <c r="AH16" s="9"/>
      <c r="AI16" s="45">
        <f t="shared" si="1"/>
        <v>31</v>
      </c>
      <c r="AJ16" s="46">
        <f t="shared" si="2"/>
        <v>0</v>
      </c>
      <c r="AK16" s="29" t="str">
        <f>IFERROR(__xludf.DUMMYFUNCTION("SPARKLINE(AJ16/AI16, {""charttype"",""bar"";""max"",1;""color1"",""#90EE90""})"),"")</f>
        <v/>
      </c>
      <c r="AL16" s="26"/>
      <c r="AM16" s="27"/>
      <c r="AN16" s="9"/>
    </row>
    <row r="17">
      <c r="B17" s="42"/>
      <c r="C17" s="82" t="b">
        <v>0</v>
      </c>
      <c r="D17" s="82" t="b">
        <v>0</v>
      </c>
      <c r="E17" s="82" t="b">
        <v>0</v>
      </c>
      <c r="F17" s="82" t="b">
        <v>0</v>
      </c>
      <c r="G17" s="82" t="b">
        <v>0</v>
      </c>
      <c r="H17" s="82" t="b">
        <v>0</v>
      </c>
      <c r="I17" s="82" t="b">
        <v>0</v>
      </c>
      <c r="J17" s="44" t="b">
        <v>0</v>
      </c>
      <c r="K17" s="44" t="b">
        <v>0</v>
      </c>
      <c r="L17" s="44" t="b">
        <v>0</v>
      </c>
      <c r="M17" s="44" t="b">
        <v>0</v>
      </c>
      <c r="N17" s="44" t="b">
        <v>0</v>
      </c>
      <c r="O17" s="44" t="b">
        <v>0</v>
      </c>
      <c r="P17" s="44" t="b">
        <v>0</v>
      </c>
      <c r="Q17" s="82" t="b">
        <v>0</v>
      </c>
      <c r="R17" s="82" t="b">
        <v>0</v>
      </c>
      <c r="S17" s="82" t="b">
        <v>0</v>
      </c>
      <c r="T17" s="82" t="b">
        <v>0</v>
      </c>
      <c r="U17" s="82" t="b">
        <v>0</v>
      </c>
      <c r="V17" s="82" t="b">
        <v>0</v>
      </c>
      <c r="W17" s="82" t="b">
        <v>0</v>
      </c>
      <c r="X17" s="44" t="b">
        <v>0</v>
      </c>
      <c r="Y17" s="44" t="b">
        <v>0</v>
      </c>
      <c r="Z17" s="44" t="b">
        <v>0</v>
      </c>
      <c r="AA17" s="44" t="b">
        <v>0</v>
      </c>
      <c r="AB17" s="44" t="b">
        <v>0</v>
      </c>
      <c r="AC17" s="44" t="b">
        <v>0</v>
      </c>
      <c r="AD17" s="44" t="b">
        <v>0</v>
      </c>
      <c r="AE17" s="43" t="b">
        <v>0</v>
      </c>
      <c r="AF17" s="43" t="b">
        <v>0</v>
      </c>
      <c r="AG17" s="43" t="b">
        <v>0</v>
      </c>
      <c r="AH17" s="9"/>
      <c r="AI17" s="45">
        <f t="shared" si="1"/>
        <v>31</v>
      </c>
      <c r="AJ17" s="46">
        <f t="shared" si="2"/>
        <v>0</v>
      </c>
      <c r="AK17" s="29" t="str">
        <f>IFERROR(__xludf.DUMMYFUNCTION("SPARKLINE(AJ17/AI17, {""charttype"",""bar"";""max"",1;""color1"",""#90EE90""})"),"")</f>
        <v/>
      </c>
      <c r="AL17" s="26"/>
      <c r="AM17" s="27"/>
      <c r="AN17" s="9"/>
    </row>
    <row r="18">
      <c r="B18" s="42"/>
      <c r="C18" s="82" t="b">
        <v>0</v>
      </c>
      <c r="D18" s="82" t="b">
        <v>0</v>
      </c>
      <c r="E18" s="82" t="b">
        <v>0</v>
      </c>
      <c r="F18" s="82" t="b">
        <v>0</v>
      </c>
      <c r="G18" s="82" t="b">
        <v>0</v>
      </c>
      <c r="H18" s="82" t="b">
        <v>0</v>
      </c>
      <c r="I18" s="82" t="b">
        <v>0</v>
      </c>
      <c r="J18" s="44" t="b">
        <v>0</v>
      </c>
      <c r="K18" s="44" t="b">
        <v>0</v>
      </c>
      <c r="L18" s="44" t="b">
        <v>0</v>
      </c>
      <c r="M18" s="44" t="b">
        <v>0</v>
      </c>
      <c r="N18" s="44" t="b">
        <v>0</v>
      </c>
      <c r="O18" s="44" t="b">
        <v>0</v>
      </c>
      <c r="P18" s="44" t="b">
        <v>0</v>
      </c>
      <c r="Q18" s="82" t="b">
        <v>0</v>
      </c>
      <c r="R18" s="82" t="b">
        <v>0</v>
      </c>
      <c r="S18" s="82" t="b">
        <v>0</v>
      </c>
      <c r="T18" s="82" t="b">
        <v>0</v>
      </c>
      <c r="U18" s="82" t="b">
        <v>0</v>
      </c>
      <c r="V18" s="82" t="b">
        <v>0</v>
      </c>
      <c r="W18" s="82" t="b">
        <v>0</v>
      </c>
      <c r="X18" s="44" t="b">
        <v>0</v>
      </c>
      <c r="Y18" s="44" t="b">
        <v>0</v>
      </c>
      <c r="Z18" s="44" t="b">
        <v>0</v>
      </c>
      <c r="AA18" s="44" t="b">
        <v>0</v>
      </c>
      <c r="AB18" s="44" t="b">
        <v>0</v>
      </c>
      <c r="AC18" s="44" t="b">
        <v>0</v>
      </c>
      <c r="AD18" s="44" t="b">
        <v>0</v>
      </c>
      <c r="AE18" s="43" t="b">
        <v>0</v>
      </c>
      <c r="AF18" s="43" t="b">
        <v>0</v>
      </c>
      <c r="AG18" s="43" t="b">
        <v>0</v>
      </c>
      <c r="AH18" s="9"/>
      <c r="AI18" s="45">
        <f t="shared" si="1"/>
        <v>31</v>
      </c>
      <c r="AJ18" s="46">
        <f t="shared" si="2"/>
        <v>0</v>
      </c>
      <c r="AK18" s="29" t="str">
        <f>IFERROR(__xludf.DUMMYFUNCTION("SPARKLINE(AJ18/AI18, {""charttype"",""bar"";""max"",1;""color1"",""#90EE90""})"),"")</f>
        <v/>
      </c>
      <c r="AL18" s="26"/>
      <c r="AM18" s="27"/>
      <c r="AN18" s="9"/>
    </row>
    <row r="19">
      <c r="B19" s="42"/>
      <c r="C19" s="82" t="b">
        <v>0</v>
      </c>
      <c r="D19" s="82" t="b">
        <v>0</v>
      </c>
      <c r="E19" s="82" t="b">
        <v>0</v>
      </c>
      <c r="F19" s="82" t="b">
        <v>0</v>
      </c>
      <c r="G19" s="82" t="b">
        <v>0</v>
      </c>
      <c r="H19" s="82" t="b">
        <v>0</v>
      </c>
      <c r="I19" s="82" t="b">
        <v>0</v>
      </c>
      <c r="J19" s="44" t="b">
        <v>0</v>
      </c>
      <c r="K19" s="44" t="b">
        <v>0</v>
      </c>
      <c r="L19" s="44" t="b">
        <v>0</v>
      </c>
      <c r="M19" s="44" t="b">
        <v>0</v>
      </c>
      <c r="N19" s="44" t="b">
        <v>0</v>
      </c>
      <c r="O19" s="44" t="b">
        <v>0</v>
      </c>
      <c r="P19" s="44" t="b">
        <v>0</v>
      </c>
      <c r="Q19" s="82" t="b">
        <v>0</v>
      </c>
      <c r="R19" s="82" t="b">
        <v>0</v>
      </c>
      <c r="S19" s="82" t="b">
        <v>0</v>
      </c>
      <c r="T19" s="82" t="b">
        <v>0</v>
      </c>
      <c r="U19" s="82" t="b">
        <v>0</v>
      </c>
      <c r="V19" s="82" t="b">
        <v>0</v>
      </c>
      <c r="W19" s="82" t="b">
        <v>0</v>
      </c>
      <c r="X19" s="44" t="b">
        <v>0</v>
      </c>
      <c r="Y19" s="44" t="b">
        <v>0</v>
      </c>
      <c r="Z19" s="44" t="b">
        <v>0</v>
      </c>
      <c r="AA19" s="44" t="b">
        <v>0</v>
      </c>
      <c r="AB19" s="44" t="b">
        <v>0</v>
      </c>
      <c r="AC19" s="44" t="b">
        <v>0</v>
      </c>
      <c r="AD19" s="44" t="b">
        <v>0</v>
      </c>
      <c r="AE19" s="43" t="b">
        <v>0</v>
      </c>
      <c r="AF19" s="43" t="b">
        <v>0</v>
      </c>
      <c r="AG19" s="43" t="b">
        <v>0</v>
      </c>
      <c r="AH19" s="9"/>
      <c r="AI19" s="45">
        <f t="shared" si="1"/>
        <v>31</v>
      </c>
      <c r="AJ19" s="46">
        <f t="shared" si="2"/>
        <v>0</v>
      </c>
      <c r="AK19" s="29" t="str">
        <f>IFERROR(__xludf.DUMMYFUNCTION("SPARKLINE(AJ19/AI19, {""charttype"",""bar"";""max"",1;""color1"",""#90EE90""})"),"")</f>
        <v/>
      </c>
      <c r="AL19" s="26"/>
      <c r="AM19" s="27"/>
      <c r="AN19" s="9"/>
    </row>
    <row r="20">
      <c r="B20" s="47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</row>
    <row r="21">
      <c r="B21" s="40" t="s">
        <v>11</v>
      </c>
      <c r="C21" s="49">
        <f t="shared" ref="C21:AG21" si="3">COUNTIF(C10:C19, TRUE)/COUNTA(C10:C19)</f>
        <v>0</v>
      </c>
      <c r="D21" s="49">
        <f t="shared" si="3"/>
        <v>0</v>
      </c>
      <c r="E21" s="49">
        <f t="shared" si="3"/>
        <v>0</v>
      </c>
      <c r="F21" s="49">
        <f t="shared" si="3"/>
        <v>0</v>
      </c>
      <c r="G21" s="49">
        <f t="shared" si="3"/>
        <v>0</v>
      </c>
      <c r="H21" s="49">
        <f t="shared" si="3"/>
        <v>0</v>
      </c>
      <c r="I21" s="49">
        <f t="shared" si="3"/>
        <v>0</v>
      </c>
      <c r="J21" s="49">
        <f t="shared" si="3"/>
        <v>0</v>
      </c>
      <c r="K21" s="49">
        <f t="shared" si="3"/>
        <v>0</v>
      </c>
      <c r="L21" s="49">
        <f t="shared" si="3"/>
        <v>0</v>
      </c>
      <c r="M21" s="49">
        <f t="shared" si="3"/>
        <v>0</v>
      </c>
      <c r="N21" s="49">
        <f t="shared" si="3"/>
        <v>0</v>
      </c>
      <c r="O21" s="49">
        <f t="shared" si="3"/>
        <v>0</v>
      </c>
      <c r="P21" s="49">
        <f t="shared" si="3"/>
        <v>0</v>
      </c>
      <c r="Q21" s="49">
        <f t="shared" si="3"/>
        <v>0</v>
      </c>
      <c r="R21" s="49">
        <f t="shared" si="3"/>
        <v>0</v>
      </c>
      <c r="S21" s="49">
        <f t="shared" si="3"/>
        <v>0</v>
      </c>
      <c r="T21" s="49">
        <f t="shared" si="3"/>
        <v>0</v>
      </c>
      <c r="U21" s="49">
        <f t="shared" si="3"/>
        <v>0</v>
      </c>
      <c r="V21" s="49">
        <f t="shared" si="3"/>
        <v>0</v>
      </c>
      <c r="W21" s="49">
        <f t="shared" si="3"/>
        <v>0</v>
      </c>
      <c r="X21" s="49">
        <f t="shared" si="3"/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B21" s="49">
        <f t="shared" si="3"/>
        <v>0</v>
      </c>
      <c r="AC21" s="49">
        <f t="shared" si="3"/>
        <v>0</v>
      </c>
      <c r="AD21" s="49">
        <f t="shared" si="3"/>
        <v>0</v>
      </c>
      <c r="AE21" s="49">
        <f t="shared" si="3"/>
        <v>0</v>
      </c>
      <c r="AF21" s="49">
        <f t="shared" si="3"/>
        <v>0</v>
      </c>
      <c r="AG21" s="49">
        <f t="shared" si="3"/>
        <v>0</v>
      </c>
    </row>
    <row r="22">
      <c r="B22" s="40" t="s">
        <v>38</v>
      </c>
      <c r="C22" s="46">
        <f t="shared" ref="C22:AG22" si="4">COUNTIF(C10:C19, TRUE)</f>
        <v>0</v>
      </c>
      <c r="D22" s="46">
        <f t="shared" si="4"/>
        <v>0</v>
      </c>
      <c r="E22" s="46">
        <f t="shared" si="4"/>
        <v>0</v>
      </c>
      <c r="F22" s="46">
        <f t="shared" si="4"/>
        <v>0</v>
      </c>
      <c r="G22" s="46">
        <f t="shared" si="4"/>
        <v>0</v>
      </c>
      <c r="H22" s="46">
        <f t="shared" si="4"/>
        <v>0</v>
      </c>
      <c r="I22" s="46">
        <f t="shared" si="4"/>
        <v>0</v>
      </c>
      <c r="J22" s="46">
        <f t="shared" si="4"/>
        <v>0</v>
      </c>
      <c r="K22" s="46">
        <f t="shared" si="4"/>
        <v>0</v>
      </c>
      <c r="L22" s="46">
        <f t="shared" si="4"/>
        <v>0</v>
      </c>
      <c r="M22" s="46">
        <f t="shared" si="4"/>
        <v>0</v>
      </c>
      <c r="N22" s="46">
        <f t="shared" si="4"/>
        <v>0</v>
      </c>
      <c r="O22" s="46">
        <f t="shared" si="4"/>
        <v>0</v>
      </c>
      <c r="P22" s="46">
        <f t="shared" si="4"/>
        <v>0</v>
      </c>
      <c r="Q22" s="46">
        <f t="shared" si="4"/>
        <v>0</v>
      </c>
      <c r="R22" s="46">
        <f t="shared" si="4"/>
        <v>0</v>
      </c>
      <c r="S22" s="46">
        <f t="shared" si="4"/>
        <v>0</v>
      </c>
      <c r="T22" s="46">
        <f t="shared" si="4"/>
        <v>0</v>
      </c>
      <c r="U22" s="46">
        <f t="shared" si="4"/>
        <v>0</v>
      </c>
      <c r="V22" s="46">
        <f t="shared" si="4"/>
        <v>0</v>
      </c>
      <c r="W22" s="46">
        <f t="shared" si="4"/>
        <v>0</v>
      </c>
      <c r="X22" s="46">
        <f t="shared" si="4"/>
        <v>0</v>
      </c>
      <c r="Y22" s="46">
        <f t="shared" si="4"/>
        <v>0</v>
      </c>
      <c r="Z22" s="46">
        <f t="shared" si="4"/>
        <v>0</v>
      </c>
      <c r="AA22" s="46">
        <f t="shared" si="4"/>
        <v>0</v>
      </c>
      <c r="AB22" s="46">
        <f t="shared" si="4"/>
        <v>0</v>
      </c>
      <c r="AC22" s="46">
        <f t="shared" si="4"/>
        <v>0</v>
      </c>
      <c r="AD22" s="46">
        <f t="shared" si="4"/>
        <v>0</v>
      </c>
      <c r="AE22" s="46">
        <f t="shared" si="4"/>
        <v>0</v>
      </c>
      <c r="AF22" s="46">
        <f t="shared" si="4"/>
        <v>0</v>
      </c>
      <c r="AG22" s="46">
        <f t="shared" si="4"/>
        <v>0</v>
      </c>
    </row>
    <row r="23">
      <c r="B23" s="40" t="s">
        <v>39</v>
      </c>
      <c r="C23" s="46">
        <f t="shared" ref="C23:AG23" si="5">COUNTIF(C10:C19, FALSE)</f>
        <v>10</v>
      </c>
      <c r="D23" s="46">
        <f t="shared" si="5"/>
        <v>10</v>
      </c>
      <c r="E23" s="46">
        <f t="shared" si="5"/>
        <v>10</v>
      </c>
      <c r="F23" s="46">
        <f t="shared" si="5"/>
        <v>10</v>
      </c>
      <c r="G23" s="46">
        <f t="shared" si="5"/>
        <v>10</v>
      </c>
      <c r="H23" s="46">
        <f t="shared" si="5"/>
        <v>10</v>
      </c>
      <c r="I23" s="46">
        <f t="shared" si="5"/>
        <v>10</v>
      </c>
      <c r="J23" s="46">
        <f t="shared" si="5"/>
        <v>10</v>
      </c>
      <c r="K23" s="46">
        <f t="shared" si="5"/>
        <v>10</v>
      </c>
      <c r="L23" s="46">
        <f t="shared" si="5"/>
        <v>10</v>
      </c>
      <c r="M23" s="46">
        <f t="shared" si="5"/>
        <v>10</v>
      </c>
      <c r="N23" s="46">
        <f t="shared" si="5"/>
        <v>10</v>
      </c>
      <c r="O23" s="46">
        <f t="shared" si="5"/>
        <v>10</v>
      </c>
      <c r="P23" s="46">
        <f t="shared" si="5"/>
        <v>10</v>
      </c>
      <c r="Q23" s="46">
        <f t="shared" si="5"/>
        <v>10</v>
      </c>
      <c r="R23" s="46">
        <f t="shared" si="5"/>
        <v>10</v>
      </c>
      <c r="S23" s="46">
        <f t="shared" si="5"/>
        <v>10</v>
      </c>
      <c r="T23" s="46">
        <f t="shared" si="5"/>
        <v>10</v>
      </c>
      <c r="U23" s="46">
        <f t="shared" si="5"/>
        <v>10</v>
      </c>
      <c r="V23" s="46">
        <f t="shared" si="5"/>
        <v>10</v>
      </c>
      <c r="W23" s="46">
        <f t="shared" si="5"/>
        <v>10</v>
      </c>
      <c r="X23" s="46">
        <f t="shared" si="5"/>
        <v>10</v>
      </c>
      <c r="Y23" s="46">
        <f t="shared" si="5"/>
        <v>10</v>
      </c>
      <c r="Z23" s="46">
        <f t="shared" si="5"/>
        <v>10</v>
      </c>
      <c r="AA23" s="46">
        <f t="shared" si="5"/>
        <v>10</v>
      </c>
      <c r="AB23" s="46">
        <f t="shared" si="5"/>
        <v>10</v>
      </c>
      <c r="AC23" s="46">
        <f t="shared" si="5"/>
        <v>10</v>
      </c>
      <c r="AD23" s="46">
        <f t="shared" si="5"/>
        <v>10</v>
      </c>
      <c r="AE23" s="46">
        <f t="shared" si="5"/>
        <v>10</v>
      </c>
      <c r="AF23" s="46">
        <f t="shared" si="5"/>
        <v>10</v>
      </c>
      <c r="AG23" s="46">
        <f t="shared" si="5"/>
        <v>10</v>
      </c>
    </row>
    <row r="33">
      <c r="B33" s="50"/>
      <c r="C33" s="41" t="s">
        <v>40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</row>
    <row r="34">
      <c r="B34" s="40" t="s">
        <v>41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1"/>
    </row>
    <row r="35">
      <c r="B35" s="40" t="s">
        <v>42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1"/>
    </row>
    <row r="36">
      <c r="C36" s="53">
        <f t="shared" ref="C36:AG36" si="6">(C35+C34)/20</f>
        <v>0</v>
      </c>
      <c r="D36" s="53">
        <f t="shared" si="6"/>
        <v>0</v>
      </c>
      <c r="E36" s="53">
        <f t="shared" si="6"/>
        <v>0</v>
      </c>
      <c r="F36" s="53">
        <f t="shared" si="6"/>
        <v>0</v>
      </c>
      <c r="G36" s="53">
        <f t="shared" si="6"/>
        <v>0</v>
      </c>
      <c r="H36" s="53">
        <f t="shared" si="6"/>
        <v>0</v>
      </c>
      <c r="I36" s="53">
        <f t="shared" si="6"/>
        <v>0</v>
      </c>
      <c r="J36" s="53">
        <f t="shared" si="6"/>
        <v>0</v>
      </c>
      <c r="K36" s="53">
        <f t="shared" si="6"/>
        <v>0</v>
      </c>
      <c r="L36" s="53">
        <f t="shared" si="6"/>
        <v>0</v>
      </c>
      <c r="M36" s="53">
        <f t="shared" si="6"/>
        <v>0</v>
      </c>
      <c r="N36" s="53">
        <f t="shared" si="6"/>
        <v>0</v>
      </c>
      <c r="O36" s="53">
        <f t="shared" si="6"/>
        <v>0</v>
      </c>
      <c r="P36" s="53">
        <f t="shared" si="6"/>
        <v>0</v>
      </c>
      <c r="Q36" s="53">
        <f t="shared" si="6"/>
        <v>0</v>
      </c>
      <c r="R36" s="53">
        <f t="shared" si="6"/>
        <v>0</v>
      </c>
      <c r="S36" s="53">
        <f t="shared" si="6"/>
        <v>0</v>
      </c>
      <c r="T36" s="53">
        <f t="shared" si="6"/>
        <v>0</v>
      </c>
      <c r="U36" s="53">
        <f t="shared" si="6"/>
        <v>0</v>
      </c>
      <c r="V36" s="53">
        <f t="shared" si="6"/>
        <v>0</v>
      </c>
      <c r="W36" s="53">
        <f t="shared" si="6"/>
        <v>0</v>
      </c>
      <c r="X36" s="53">
        <f t="shared" si="6"/>
        <v>0</v>
      </c>
      <c r="Y36" s="53">
        <f t="shared" si="6"/>
        <v>0</v>
      </c>
      <c r="Z36" s="53">
        <f t="shared" si="6"/>
        <v>0</v>
      </c>
      <c r="AA36" s="53">
        <f t="shared" si="6"/>
        <v>0</v>
      </c>
      <c r="AB36" s="53">
        <f t="shared" si="6"/>
        <v>0</v>
      </c>
      <c r="AC36" s="53">
        <f t="shared" si="6"/>
        <v>0</v>
      </c>
      <c r="AD36" s="53">
        <f t="shared" si="6"/>
        <v>0</v>
      </c>
      <c r="AE36" s="53">
        <f t="shared" si="6"/>
        <v>0</v>
      </c>
      <c r="AF36" s="53">
        <f t="shared" si="6"/>
        <v>0</v>
      </c>
      <c r="AG36" s="53">
        <f t="shared" si="6"/>
        <v>0</v>
      </c>
    </row>
  </sheetData>
  <mergeCells count="28">
    <mergeCell ref="AB3:AD3"/>
    <mergeCell ref="AB4:AD4"/>
    <mergeCell ref="B3:H4"/>
    <mergeCell ref="J3:N3"/>
    <mergeCell ref="P3:T3"/>
    <mergeCell ref="V3:Z3"/>
    <mergeCell ref="J4:N4"/>
    <mergeCell ref="P4:T4"/>
    <mergeCell ref="V4:Z4"/>
    <mergeCell ref="B7:B9"/>
    <mergeCell ref="C7:I7"/>
    <mergeCell ref="J7:P7"/>
    <mergeCell ref="Q7:W7"/>
    <mergeCell ref="X7:AD7"/>
    <mergeCell ref="AE7:AF7"/>
    <mergeCell ref="AI7:AM8"/>
    <mergeCell ref="AK16:AM16"/>
    <mergeCell ref="AK17:AM17"/>
    <mergeCell ref="AK18:AM18"/>
    <mergeCell ref="AK19:AM19"/>
    <mergeCell ref="C33:AG33"/>
    <mergeCell ref="AK9:AM9"/>
    <mergeCell ref="AK10:AM10"/>
    <mergeCell ref="AK11:AM11"/>
    <mergeCell ref="AK12:AM12"/>
    <mergeCell ref="AK13:AM13"/>
    <mergeCell ref="AK14:AM14"/>
    <mergeCell ref="AK15:AM15"/>
  </mergeCells>
  <dataValidations>
    <dataValidation type="list" allowBlank="1" showErrorMessage="1" sqref="C34:AG35">
      <formula1>"10,9,8,7,6,5,4,3,2,1,0"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23.25"/>
    <col customWidth="1" min="3" max="33" width="4.13"/>
    <col customWidth="1" min="34" max="34" width="10.0"/>
    <col customWidth="1" min="35" max="35" width="8.0"/>
    <col customWidth="1" min="36" max="39" width="4.13"/>
  </cols>
  <sheetData>
    <row r="2">
      <c r="B2" s="64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6"/>
      <c r="AM2" s="9"/>
    </row>
    <row r="3">
      <c r="B3" s="10" t="s">
        <v>63</v>
      </c>
      <c r="I3" s="67"/>
      <c r="J3" s="68" t="s">
        <v>70</v>
      </c>
      <c r="O3" s="69"/>
      <c r="P3" s="68" t="s">
        <v>10</v>
      </c>
      <c r="U3" s="69"/>
      <c r="V3" s="68" t="s">
        <v>11</v>
      </c>
      <c r="AA3" s="69"/>
      <c r="AB3" s="68" t="s">
        <v>12</v>
      </c>
      <c r="AE3" s="12"/>
      <c r="AF3" s="12"/>
      <c r="AG3" s="70"/>
      <c r="AH3" s="71"/>
      <c r="AI3" s="71"/>
      <c r="AJ3" s="71"/>
      <c r="AK3" s="71"/>
      <c r="AL3" s="72"/>
      <c r="AM3" s="9"/>
    </row>
    <row r="4">
      <c r="B4" s="17"/>
      <c r="I4" s="67"/>
      <c r="J4" s="71">
        <f>COUNTA($B$10:$B$19)</f>
        <v>0</v>
      </c>
      <c r="O4" s="70"/>
      <c r="P4" s="71">
        <f>COUNTIF($C$10:$AF$19, TRUE)</f>
        <v>0</v>
      </c>
      <c r="U4" s="70"/>
      <c r="V4" s="73" t="str">
        <f>IFERROR(__xludf.DUMMYFUNCTION("SPARKLINE(AB4, {""charttype"",""bar"";""max"",1;""color1"",""#90EE90""})"),"")</f>
        <v/>
      </c>
      <c r="AA4" s="70"/>
      <c r="AB4" s="74">
        <f>(P4)/(COUNTA($C$10:$C$19)*COUNTA($C$10:$AF$10))</f>
        <v>0</v>
      </c>
      <c r="AE4" s="74"/>
      <c r="AF4" s="74"/>
      <c r="AG4" s="70"/>
      <c r="AH4" s="71"/>
      <c r="AI4" s="71"/>
      <c r="AJ4" s="71"/>
      <c r="AK4" s="71"/>
      <c r="AL4" s="72"/>
      <c r="AM4" s="9"/>
    </row>
    <row r="5">
      <c r="B5" s="75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7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8"/>
      <c r="AM5" s="9"/>
    </row>
    <row r="6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</row>
    <row r="7">
      <c r="B7" s="24" t="s">
        <v>13</v>
      </c>
      <c r="C7" s="25" t="s">
        <v>14</v>
      </c>
      <c r="D7" s="26"/>
      <c r="E7" s="26"/>
      <c r="F7" s="26"/>
      <c r="G7" s="26"/>
      <c r="H7" s="26"/>
      <c r="I7" s="27"/>
      <c r="J7" s="28" t="s">
        <v>15</v>
      </c>
      <c r="K7" s="26"/>
      <c r="L7" s="26"/>
      <c r="M7" s="26"/>
      <c r="N7" s="26"/>
      <c r="O7" s="26"/>
      <c r="P7" s="27"/>
      <c r="Q7" s="25" t="s">
        <v>16</v>
      </c>
      <c r="R7" s="26"/>
      <c r="S7" s="26"/>
      <c r="T7" s="26"/>
      <c r="U7" s="26"/>
      <c r="V7" s="26"/>
      <c r="W7" s="27"/>
      <c r="X7" s="28" t="s">
        <v>17</v>
      </c>
      <c r="Y7" s="26"/>
      <c r="Z7" s="26"/>
      <c r="AA7" s="26"/>
      <c r="AB7" s="26"/>
      <c r="AC7" s="26"/>
      <c r="AD7" s="27"/>
      <c r="AE7" s="29"/>
      <c r="AF7" s="27"/>
      <c r="AG7" s="9"/>
      <c r="AH7" s="30" t="s">
        <v>18</v>
      </c>
      <c r="AI7" s="31"/>
      <c r="AJ7" s="31"/>
      <c r="AK7" s="31"/>
      <c r="AL7" s="32"/>
    </row>
    <row r="8">
      <c r="B8" s="33"/>
      <c r="C8" s="34" t="s">
        <v>21</v>
      </c>
      <c r="D8" s="34" t="s">
        <v>22</v>
      </c>
      <c r="E8" s="34" t="s">
        <v>23</v>
      </c>
      <c r="F8" s="34" t="s">
        <v>24</v>
      </c>
      <c r="G8" s="34" t="s">
        <v>25</v>
      </c>
      <c r="H8" s="34" t="s">
        <v>19</v>
      </c>
      <c r="I8" s="34" t="s">
        <v>20</v>
      </c>
      <c r="J8" s="35" t="s">
        <v>21</v>
      </c>
      <c r="K8" s="35" t="s">
        <v>22</v>
      </c>
      <c r="L8" s="35" t="s">
        <v>23</v>
      </c>
      <c r="M8" s="35" t="s">
        <v>24</v>
      </c>
      <c r="N8" s="35" t="s">
        <v>25</v>
      </c>
      <c r="O8" s="35" t="s">
        <v>19</v>
      </c>
      <c r="P8" s="35" t="s">
        <v>20</v>
      </c>
      <c r="Q8" s="34" t="s">
        <v>21</v>
      </c>
      <c r="R8" s="34" t="s">
        <v>22</v>
      </c>
      <c r="S8" s="34" t="s">
        <v>23</v>
      </c>
      <c r="T8" s="34" t="s">
        <v>24</v>
      </c>
      <c r="U8" s="34" t="s">
        <v>25</v>
      </c>
      <c r="V8" s="34" t="s">
        <v>19</v>
      </c>
      <c r="W8" s="34" t="s">
        <v>20</v>
      </c>
      <c r="X8" s="35" t="s">
        <v>21</v>
      </c>
      <c r="Y8" s="35" t="s">
        <v>22</v>
      </c>
      <c r="Z8" s="35" t="s">
        <v>23</v>
      </c>
      <c r="AA8" s="35" t="s">
        <v>24</v>
      </c>
      <c r="AB8" s="35" t="s">
        <v>25</v>
      </c>
      <c r="AC8" s="35" t="s">
        <v>19</v>
      </c>
      <c r="AD8" s="35" t="s">
        <v>20</v>
      </c>
      <c r="AE8" s="34" t="s">
        <v>21</v>
      </c>
      <c r="AF8" s="34" t="s">
        <v>22</v>
      </c>
      <c r="AG8" s="9"/>
      <c r="AH8" s="36"/>
      <c r="AI8" s="37"/>
      <c r="AJ8" s="37"/>
      <c r="AK8" s="37"/>
      <c r="AL8" s="38"/>
    </row>
    <row r="9">
      <c r="B9" s="39"/>
      <c r="C9" s="34">
        <v>1.0</v>
      </c>
      <c r="D9" s="34">
        <v>2.0</v>
      </c>
      <c r="E9" s="34">
        <v>3.0</v>
      </c>
      <c r="F9" s="34">
        <v>4.0</v>
      </c>
      <c r="G9" s="34">
        <v>5.0</v>
      </c>
      <c r="H9" s="34">
        <v>6.0</v>
      </c>
      <c r="I9" s="34">
        <v>7.0</v>
      </c>
      <c r="J9" s="35">
        <v>8.0</v>
      </c>
      <c r="K9" s="35">
        <v>9.0</v>
      </c>
      <c r="L9" s="35">
        <v>10.0</v>
      </c>
      <c r="M9" s="35">
        <v>11.0</v>
      </c>
      <c r="N9" s="35">
        <v>12.0</v>
      </c>
      <c r="O9" s="35">
        <v>13.0</v>
      </c>
      <c r="P9" s="35">
        <v>14.0</v>
      </c>
      <c r="Q9" s="34">
        <v>15.0</v>
      </c>
      <c r="R9" s="34">
        <v>16.0</v>
      </c>
      <c r="S9" s="34">
        <v>17.0</v>
      </c>
      <c r="T9" s="34">
        <v>18.0</v>
      </c>
      <c r="U9" s="34">
        <v>19.0</v>
      </c>
      <c r="V9" s="34">
        <v>20.0</v>
      </c>
      <c r="W9" s="34">
        <v>21.0</v>
      </c>
      <c r="X9" s="35">
        <v>22.0</v>
      </c>
      <c r="Y9" s="35">
        <v>23.0</v>
      </c>
      <c r="Z9" s="35">
        <v>24.0</v>
      </c>
      <c r="AA9" s="35">
        <v>25.0</v>
      </c>
      <c r="AB9" s="35">
        <v>26.0</v>
      </c>
      <c r="AC9" s="35">
        <v>27.0</v>
      </c>
      <c r="AD9" s="35">
        <v>28.0</v>
      </c>
      <c r="AE9" s="34">
        <v>29.0</v>
      </c>
      <c r="AF9" s="34">
        <v>30.0</v>
      </c>
      <c r="AG9" s="9"/>
      <c r="AH9" s="40" t="s">
        <v>26</v>
      </c>
      <c r="AI9" s="40" t="s">
        <v>27</v>
      </c>
      <c r="AJ9" s="41" t="s">
        <v>11</v>
      </c>
      <c r="AK9" s="26"/>
      <c r="AL9" s="27"/>
    </row>
    <row r="10">
      <c r="B10" s="42"/>
      <c r="C10" s="82" t="b">
        <v>0</v>
      </c>
      <c r="D10" s="82" t="b">
        <v>0</v>
      </c>
      <c r="E10" s="82" t="b">
        <v>0</v>
      </c>
      <c r="F10" s="82" t="b">
        <v>0</v>
      </c>
      <c r="G10" s="82" t="b">
        <v>0</v>
      </c>
      <c r="H10" s="82" t="b">
        <v>0</v>
      </c>
      <c r="I10" s="82" t="b">
        <v>0</v>
      </c>
      <c r="J10" s="44" t="b">
        <v>0</v>
      </c>
      <c r="K10" s="44" t="b">
        <v>0</v>
      </c>
      <c r="L10" s="44" t="b">
        <v>0</v>
      </c>
      <c r="M10" s="44" t="b">
        <v>0</v>
      </c>
      <c r="N10" s="44" t="b">
        <v>0</v>
      </c>
      <c r="O10" s="44" t="b">
        <v>0</v>
      </c>
      <c r="P10" s="44" t="b">
        <v>0</v>
      </c>
      <c r="Q10" s="82" t="b">
        <v>0</v>
      </c>
      <c r="R10" s="82" t="b">
        <v>0</v>
      </c>
      <c r="S10" s="82" t="b">
        <v>0</v>
      </c>
      <c r="T10" s="82" t="b">
        <v>0</v>
      </c>
      <c r="U10" s="82" t="b">
        <v>0</v>
      </c>
      <c r="V10" s="82" t="b">
        <v>0</v>
      </c>
      <c r="W10" s="82" t="b">
        <v>0</v>
      </c>
      <c r="X10" s="44" t="b">
        <v>0</v>
      </c>
      <c r="Y10" s="44" t="b">
        <v>0</v>
      </c>
      <c r="Z10" s="44" t="b">
        <v>0</v>
      </c>
      <c r="AA10" s="44" t="b">
        <v>0</v>
      </c>
      <c r="AB10" s="44" t="b">
        <v>0</v>
      </c>
      <c r="AC10" s="44" t="b">
        <v>0</v>
      </c>
      <c r="AD10" s="44" t="b">
        <v>0</v>
      </c>
      <c r="AE10" s="43" t="b">
        <v>0</v>
      </c>
      <c r="AF10" s="43" t="b">
        <v>0</v>
      </c>
      <c r="AG10" s="9"/>
      <c r="AH10" s="45">
        <f t="shared" ref="AH10:AH19" si="1">30</f>
        <v>30</v>
      </c>
      <c r="AI10" s="46">
        <f t="shared" ref="AI10:AI19" si="2">COUNTIF(C10:AF10, TRUE)</f>
        <v>0</v>
      </c>
      <c r="AJ10" s="29" t="str">
        <f>IFERROR(__xludf.DUMMYFUNCTION("SPARKLINE(AI10/AH10, {""charttype"",""bar"";""max"",1;""color1"",""#90EE90""})"),"")</f>
        <v/>
      </c>
      <c r="AK10" s="26"/>
      <c r="AL10" s="27"/>
      <c r="AM10" s="9"/>
    </row>
    <row r="11">
      <c r="B11" s="42"/>
      <c r="C11" s="82" t="b">
        <v>0</v>
      </c>
      <c r="D11" s="82" t="b">
        <v>0</v>
      </c>
      <c r="E11" s="82" t="b">
        <v>0</v>
      </c>
      <c r="F11" s="82" t="b">
        <v>0</v>
      </c>
      <c r="G11" s="82" t="b">
        <v>0</v>
      </c>
      <c r="H11" s="82" t="b">
        <v>0</v>
      </c>
      <c r="I11" s="82" t="b">
        <v>0</v>
      </c>
      <c r="J11" s="44" t="b">
        <v>0</v>
      </c>
      <c r="K11" s="44" t="b">
        <v>0</v>
      </c>
      <c r="L11" s="44" t="b">
        <v>0</v>
      </c>
      <c r="M11" s="44" t="b">
        <v>0</v>
      </c>
      <c r="N11" s="44" t="b">
        <v>0</v>
      </c>
      <c r="O11" s="44" t="b">
        <v>0</v>
      </c>
      <c r="P11" s="44" t="b">
        <v>0</v>
      </c>
      <c r="Q11" s="82" t="b">
        <v>0</v>
      </c>
      <c r="R11" s="82" t="b">
        <v>0</v>
      </c>
      <c r="S11" s="82" t="b">
        <v>0</v>
      </c>
      <c r="T11" s="82" t="b">
        <v>0</v>
      </c>
      <c r="U11" s="82" t="b">
        <v>0</v>
      </c>
      <c r="V11" s="82" t="b">
        <v>0</v>
      </c>
      <c r="W11" s="82" t="b">
        <v>0</v>
      </c>
      <c r="X11" s="44" t="b">
        <v>0</v>
      </c>
      <c r="Y11" s="44" t="b">
        <v>0</v>
      </c>
      <c r="Z11" s="44" t="b">
        <v>0</v>
      </c>
      <c r="AA11" s="44" t="b">
        <v>0</v>
      </c>
      <c r="AB11" s="44" t="b">
        <v>0</v>
      </c>
      <c r="AC11" s="44" t="b">
        <v>0</v>
      </c>
      <c r="AD11" s="44" t="b">
        <v>0</v>
      </c>
      <c r="AE11" s="43" t="b">
        <v>0</v>
      </c>
      <c r="AF11" s="43" t="b">
        <v>0</v>
      </c>
      <c r="AG11" s="9"/>
      <c r="AH11" s="45">
        <f t="shared" si="1"/>
        <v>30</v>
      </c>
      <c r="AI11" s="46">
        <f t="shared" si="2"/>
        <v>0</v>
      </c>
      <c r="AJ11" s="29" t="str">
        <f>IFERROR(__xludf.DUMMYFUNCTION("SPARKLINE(AI11/AH11, {""charttype"",""bar"";""max"",1;""color1"",""#90EE90""})"),"")</f>
        <v/>
      </c>
      <c r="AK11" s="26"/>
      <c r="AL11" s="27"/>
      <c r="AM11" s="9"/>
    </row>
    <row r="12">
      <c r="B12" s="42"/>
      <c r="C12" s="82" t="b">
        <v>0</v>
      </c>
      <c r="D12" s="82" t="b">
        <v>0</v>
      </c>
      <c r="E12" s="82" t="b">
        <v>0</v>
      </c>
      <c r="F12" s="82" t="b">
        <v>0</v>
      </c>
      <c r="G12" s="82" t="b">
        <v>0</v>
      </c>
      <c r="H12" s="82" t="b">
        <v>0</v>
      </c>
      <c r="I12" s="82" t="b">
        <v>0</v>
      </c>
      <c r="J12" s="44" t="b">
        <v>0</v>
      </c>
      <c r="K12" s="44" t="b">
        <v>0</v>
      </c>
      <c r="L12" s="44" t="b">
        <v>0</v>
      </c>
      <c r="M12" s="44" t="b">
        <v>0</v>
      </c>
      <c r="N12" s="44" t="b">
        <v>0</v>
      </c>
      <c r="O12" s="44" t="b">
        <v>0</v>
      </c>
      <c r="P12" s="44" t="b">
        <v>0</v>
      </c>
      <c r="Q12" s="82" t="b">
        <v>0</v>
      </c>
      <c r="R12" s="82" t="b">
        <v>0</v>
      </c>
      <c r="S12" s="82" t="b">
        <v>0</v>
      </c>
      <c r="T12" s="82" t="b">
        <v>0</v>
      </c>
      <c r="U12" s="82" t="b">
        <v>0</v>
      </c>
      <c r="V12" s="82" t="b">
        <v>0</v>
      </c>
      <c r="W12" s="82" t="b">
        <v>0</v>
      </c>
      <c r="X12" s="44" t="b">
        <v>0</v>
      </c>
      <c r="Y12" s="44" t="b">
        <v>0</v>
      </c>
      <c r="Z12" s="44" t="b">
        <v>0</v>
      </c>
      <c r="AA12" s="44" t="b">
        <v>0</v>
      </c>
      <c r="AB12" s="44" t="b">
        <v>0</v>
      </c>
      <c r="AC12" s="44" t="b">
        <v>0</v>
      </c>
      <c r="AD12" s="44" t="b">
        <v>0</v>
      </c>
      <c r="AE12" s="43" t="b">
        <v>0</v>
      </c>
      <c r="AF12" s="43" t="b">
        <v>0</v>
      </c>
      <c r="AG12" s="9"/>
      <c r="AH12" s="45">
        <f t="shared" si="1"/>
        <v>30</v>
      </c>
      <c r="AI12" s="46">
        <f t="shared" si="2"/>
        <v>0</v>
      </c>
      <c r="AJ12" s="29" t="str">
        <f>IFERROR(__xludf.DUMMYFUNCTION("SPARKLINE(AI12/AH12, {""charttype"",""bar"";""max"",1;""color1"",""#90EE90""})"),"")</f>
        <v/>
      </c>
      <c r="AK12" s="26"/>
      <c r="AL12" s="27"/>
      <c r="AM12" s="9"/>
    </row>
    <row r="13">
      <c r="B13" s="42"/>
      <c r="C13" s="82" t="b">
        <v>0</v>
      </c>
      <c r="D13" s="82" t="b">
        <v>0</v>
      </c>
      <c r="E13" s="82" t="b">
        <v>0</v>
      </c>
      <c r="F13" s="82" t="b">
        <v>0</v>
      </c>
      <c r="G13" s="82" t="b">
        <v>0</v>
      </c>
      <c r="H13" s="82" t="b">
        <v>0</v>
      </c>
      <c r="I13" s="82" t="b">
        <v>0</v>
      </c>
      <c r="J13" s="44" t="b">
        <v>0</v>
      </c>
      <c r="K13" s="44" t="b">
        <v>0</v>
      </c>
      <c r="L13" s="44" t="b">
        <v>0</v>
      </c>
      <c r="M13" s="44" t="b">
        <v>0</v>
      </c>
      <c r="N13" s="44" t="b">
        <v>0</v>
      </c>
      <c r="O13" s="44" t="b">
        <v>0</v>
      </c>
      <c r="P13" s="44" t="b">
        <v>0</v>
      </c>
      <c r="Q13" s="82" t="b">
        <v>0</v>
      </c>
      <c r="R13" s="82" t="b">
        <v>0</v>
      </c>
      <c r="S13" s="82" t="b">
        <v>0</v>
      </c>
      <c r="T13" s="82" t="b">
        <v>0</v>
      </c>
      <c r="U13" s="82" t="b">
        <v>0</v>
      </c>
      <c r="V13" s="82" t="b">
        <v>0</v>
      </c>
      <c r="W13" s="82" t="b">
        <v>0</v>
      </c>
      <c r="X13" s="44" t="b">
        <v>0</v>
      </c>
      <c r="Y13" s="44" t="b">
        <v>0</v>
      </c>
      <c r="Z13" s="44" t="b">
        <v>0</v>
      </c>
      <c r="AA13" s="44" t="b">
        <v>0</v>
      </c>
      <c r="AB13" s="44" t="b">
        <v>0</v>
      </c>
      <c r="AC13" s="44" t="b">
        <v>0</v>
      </c>
      <c r="AD13" s="44" t="b">
        <v>0</v>
      </c>
      <c r="AE13" s="43" t="b">
        <v>0</v>
      </c>
      <c r="AF13" s="43" t="b">
        <v>0</v>
      </c>
      <c r="AG13" s="9"/>
      <c r="AH13" s="45">
        <f t="shared" si="1"/>
        <v>30</v>
      </c>
      <c r="AI13" s="46">
        <f t="shared" si="2"/>
        <v>0</v>
      </c>
      <c r="AJ13" s="29" t="str">
        <f>IFERROR(__xludf.DUMMYFUNCTION("SPARKLINE(AI13/AH13, {""charttype"",""bar"";""max"",1;""color1"",""#90EE90""})"),"")</f>
        <v/>
      </c>
      <c r="AK13" s="26"/>
      <c r="AL13" s="27"/>
      <c r="AM13" s="9"/>
    </row>
    <row r="14">
      <c r="B14" s="42"/>
      <c r="C14" s="82" t="b">
        <v>0</v>
      </c>
      <c r="D14" s="82" t="b">
        <v>0</v>
      </c>
      <c r="E14" s="82" t="b">
        <v>0</v>
      </c>
      <c r="F14" s="82" t="b">
        <v>0</v>
      </c>
      <c r="G14" s="82" t="b">
        <v>0</v>
      </c>
      <c r="H14" s="82" t="b">
        <v>0</v>
      </c>
      <c r="I14" s="82" t="b">
        <v>0</v>
      </c>
      <c r="J14" s="44" t="b">
        <v>0</v>
      </c>
      <c r="K14" s="44" t="b">
        <v>0</v>
      </c>
      <c r="L14" s="44" t="b">
        <v>0</v>
      </c>
      <c r="M14" s="44" t="b">
        <v>0</v>
      </c>
      <c r="N14" s="44" t="b">
        <v>0</v>
      </c>
      <c r="O14" s="44" t="b">
        <v>0</v>
      </c>
      <c r="P14" s="44" t="b">
        <v>0</v>
      </c>
      <c r="Q14" s="82" t="b">
        <v>0</v>
      </c>
      <c r="R14" s="82" t="b">
        <v>0</v>
      </c>
      <c r="S14" s="82" t="b">
        <v>0</v>
      </c>
      <c r="T14" s="82" t="b">
        <v>0</v>
      </c>
      <c r="U14" s="82" t="b">
        <v>0</v>
      </c>
      <c r="V14" s="82" t="b">
        <v>0</v>
      </c>
      <c r="W14" s="82" t="b">
        <v>0</v>
      </c>
      <c r="X14" s="44" t="b">
        <v>0</v>
      </c>
      <c r="Y14" s="44" t="b">
        <v>0</v>
      </c>
      <c r="Z14" s="44" t="b">
        <v>0</v>
      </c>
      <c r="AA14" s="44" t="b">
        <v>0</v>
      </c>
      <c r="AB14" s="44" t="b">
        <v>0</v>
      </c>
      <c r="AC14" s="44" t="b">
        <v>0</v>
      </c>
      <c r="AD14" s="44" t="b">
        <v>0</v>
      </c>
      <c r="AE14" s="43" t="b">
        <v>0</v>
      </c>
      <c r="AF14" s="43" t="b">
        <v>0</v>
      </c>
      <c r="AG14" s="9"/>
      <c r="AH14" s="45">
        <f t="shared" si="1"/>
        <v>30</v>
      </c>
      <c r="AI14" s="46">
        <f t="shared" si="2"/>
        <v>0</v>
      </c>
      <c r="AJ14" s="29" t="str">
        <f>IFERROR(__xludf.DUMMYFUNCTION("SPARKLINE(AI14/AH14, {""charttype"",""bar"";""max"",1;""color1"",""#90EE90""})"),"")</f>
        <v/>
      </c>
      <c r="AK14" s="26"/>
      <c r="AL14" s="27"/>
      <c r="AM14" s="9"/>
    </row>
    <row r="15">
      <c r="B15" s="42"/>
      <c r="C15" s="82" t="b">
        <v>0</v>
      </c>
      <c r="D15" s="82" t="b">
        <v>0</v>
      </c>
      <c r="E15" s="82" t="b">
        <v>0</v>
      </c>
      <c r="F15" s="82" t="b">
        <v>0</v>
      </c>
      <c r="G15" s="82" t="b">
        <v>0</v>
      </c>
      <c r="H15" s="82" t="b">
        <v>0</v>
      </c>
      <c r="I15" s="82" t="b">
        <v>0</v>
      </c>
      <c r="J15" s="44" t="b">
        <v>0</v>
      </c>
      <c r="K15" s="44" t="b">
        <v>0</v>
      </c>
      <c r="L15" s="44" t="b">
        <v>0</v>
      </c>
      <c r="M15" s="44" t="b">
        <v>0</v>
      </c>
      <c r="N15" s="44" t="b">
        <v>0</v>
      </c>
      <c r="O15" s="44" t="b">
        <v>0</v>
      </c>
      <c r="P15" s="44" t="b">
        <v>0</v>
      </c>
      <c r="Q15" s="82" t="b">
        <v>0</v>
      </c>
      <c r="R15" s="82" t="b">
        <v>0</v>
      </c>
      <c r="S15" s="82" t="b">
        <v>0</v>
      </c>
      <c r="T15" s="82" t="b">
        <v>0</v>
      </c>
      <c r="U15" s="82" t="b">
        <v>0</v>
      </c>
      <c r="V15" s="82" t="b">
        <v>0</v>
      </c>
      <c r="W15" s="82" t="b">
        <v>0</v>
      </c>
      <c r="X15" s="44" t="b">
        <v>0</v>
      </c>
      <c r="Y15" s="44" t="b">
        <v>0</v>
      </c>
      <c r="Z15" s="44" t="b">
        <v>0</v>
      </c>
      <c r="AA15" s="44" t="b">
        <v>0</v>
      </c>
      <c r="AB15" s="44" t="b">
        <v>0</v>
      </c>
      <c r="AC15" s="44" t="b">
        <v>0</v>
      </c>
      <c r="AD15" s="44" t="b">
        <v>0</v>
      </c>
      <c r="AE15" s="43" t="b">
        <v>0</v>
      </c>
      <c r="AF15" s="43" t="b">
        <v>0</v>
      </c>
      <c r="AG15" s="9"/>
      <c r="AH15" s="45">
        <f t="shared" si="1"/>
        <v>30</v>
      </c>
      <c r="AI15" s="46">
        <f t="shared" si="2"/>
        <v>0</v>
      </c>
      <c r="AJ15" s="29" t="str">
        <f>IFERROR(__xludf.DUMMYFUNCTION("SPARKLINE(AI15/AH15, {""charttype"",""bar"";""max"",1;""color1"",""#90EE90""})"),"")</f>
        <v/>
      </c>
      <c r="AK15" s="26"/>
      <c r="AL15" s="27"/>
      <c r="AM15" s="9"/>
    </row>
    <row r="16">
      <c r="B16" s="42"/>
      <c r="C16" s="82" t="b">
        <v>0</v>
      </c>
      <c r="D16" s="82" t="b">
        <v>0</v>
      </c>
      <c r="E16" s="82" t="b">
        <v>0</v>
      </c>
      <c r="F16" s="82" t="b">
        <v>0</v>
      </c>
      <c r="G16" s="82" t="b">
        <v>0</v>
      </c>
      <c r="H16" s="82" t="b">
        <v>0</v>
      </c>
      <c r="I16" s="82" t="b">
        <v>0</v>
      </c>
      <c r="J16" s="44" t="b">
        <v>0</v>
      </c>
      <c r="K16" s="44" t="b">
        <v>0</v>
      </c>
      <c r="L16" s="44" t="b">
        <v>0</v>
      </c>
      <c r="M16" s="44" t="b">
        <v>0</v>
      </c>
      <c r="N16" s="44" t="b">
        <v>0</v>
      </c>
      <c r="O16" s="44" t="b">
        <v>0</v>
      </c>
      <c r="P16" s="44" t="b">
        <v>0</v>
      </c>
      <c r="Q16" s="82" t="b">
        <v>0</v>
      </c>
      <c r="R16" s="82" t="b">
        <v>0</v>
      </c>
      <c r="S16" s="82" t="b">
        <v>0</v>
      </c>
      <c r="T16" s="82" t="b">
        <v>0</v>
      </c>
      <c r="U16" s="82" t="b">
        <v>0</v>
      </c>
      <c r="V16" s="82" t="b">
        <v>0</v>
      </c>
      <c r="W16" s="82" t="b">
        <v>0</v>
      </c>
      <c r="X16" s="44" t="b">
        <v>0</v>
      </c>
      <c r="Y16" s="44" t="b">
        <v>0</v>
      </c>
      <c r="Z16" s="44" t="b">
        <v>0</v>
      </c>
      <c r="AA16" s="44" t="b">
        <v>0</v>
      </c>
      <c r="AB16" s="44" t="b">
        <v>0</v>
      </c>
      <c r="AC16" s="44" t="b">
        <v>0</v>
      </c>
      <c r="AD16" s="44" t="b">
        <v>0</v>
      </c>
      <c r="AE16" s="43" t="b">
        <v>0</v>
      </c>
      <c r="AF16" s="43" t="b">
        <v>0</v>
      </c>
      <c r="AG16" s="9"/>
      <c r="AH16" s="45">
        <f t="shared" si="1"/>
        <v>30</v>
      </c>
      <c r="AI16" s="46">
        <f t="shared" si="2"/>
        <v>0</v>
      </c>
      <c r="AJ16" s="29" t="str">
        <f>IFERROR(__xludf.DUMMYFUNCTION("SPARKLINE(AI16/AH16, {""charttype"",""bar"";""max"",1;""color1"",""#90EE90""})"),"")</f>
        <v/>
      </c>
      <c r="AK16" s="26"/>
      <c r="AL16" s="27"/>
      <c r="AM16" s="9"/>
    </row>
    <row r="17">
      <c r="B17" s="42"/>
      <c r="C17" s="82" t="b">
        <v>0</v>
      </c>
      <c r="D17" s="82" t="b">
        <v>0</v>
      </c>
      <c r="E17" s="82" t="b">
        <v>0</v>
      </c>
      <c r="F17" s="82" t="b">
        <v>0</v>
      </c>
      <c r="G17" s="82" t="b">
        <v>0</v>
      </c>
      <c r="H17" s="82" t="b">
        <v>0</v>
      </c>
      <c r="I17" s="82" t="b">
        <v>0</v>
      </c>
      <c r="J17" s="44" t="b">
        <v>0</v>
      </c>
      <c r="K17" s="44" t="b">
        <v>0</v>
      </c>
      <c r="L17" s="44" t="b">
        <v>0</v>
      </c>
      <c r="M17" s="44" t="b">
        <v>0</v>
      </c>
      <c r="N17" s="44" t="b">
        <v>0</v>
      </c>
      <c r="O17" s="44" t="b">
        <v>0</v>
      </c>
      <c r="P17" s="44" t="b">
        <v>0</v>
      </c>
      <c r="Q17" s="82" t="b">
        <v>0</v>
      </c>
      <c r="R17" s="82" t="b">
        <v>0</v>
      </c>
      <c r="S17" s="82" t="b">
        <v>0</v>
      </c>
      <c r="T17" s="82" t="b">
        <v>0</v>
      </c>
      <c r="U17" s="82" t="b">
        <v>0</v>
      </c>
      <c r="V17" s="82" t="b">
        <v>0</v>
      </c>
      <c r="W17" s="82" t="b">
        <v>0</v>
      </c>
      <c r="X17" s="44" t="b">
        <v>0</v>
      </c>
      <c r="Y17" s="44" t="b">
        <v>0</v>
      </c>
      <c r="Z17" s="44" t="b">
        <v>0</v>
      </c>
      <c r="AA17" s="44" t="b">
        <v>0</v>
      </c>
      <c r="AB17" s="44" t="b">
        <v>0</v>
      </c>
      <c r="AC17" s="44" t="b">
        <v>0</v>
      </c>
      <c r="AD17" s="44" t="b">
        <v>0</v>
      </c>
      <c r="AE17" s="43" t="b">
        <v>0</v>
      </c>
      <c r="AF17" s="43" t="b">
        <v>0</v>
      </c>
      <c r="AG17" s="9"/>
      <c r="AH17" s="45">
        <f t="shared" si="1"/>
        <v>30</v>
      </c>
      <c r="AI17" s="46">
        <f t="shared" si="2"/>
        <v>0</v>
      </c>
      <c r="AJ17" s="29" t="str">
        <f>IFERROR(__xludf.DUMMYFUNCTION("SPARKLINE(AI17/AH17, {""charttype"",""bar"";""max"",1;""color1"",""#90EE90""})"),"")</f>
        <v/>
      </c>
      <c r="AK17" s="26"/>
      <c r="AL17" s="27"/>
      <c r="AM17" s="9"/>
    </row>
    <row r="18">
      <c r="B18" s="42"/>
      <c r="C18" s="82" t="b">
        <v>0</v>
      </c>
      <c r="D18" s="82" t="b">
        <v>0</v>
      </c>
      <c r="E18" s="82" t="b">
        <v>0</v>
      </c>
      <c r="F18" s="82" t="b">
        <v>0</v>
      </c>
      <c r="G18" s="82" t="b">
        <v>0</v>
      </c>
      <c r="H18" s="82" t="b">
        <v>0</v>
      </c>
      <c r="I18" s="82" t="b">
        <v>0</v>
      </c>
      <c r="J18" s="44" t="b">
        <v>0</v>
      </c>
      <c r="K18" s="44" t="b">
        <v>0</v>
      </c>
      <c r="L18" s="44" t="b">
        <v>0</v>
      </c>
      <c r="M18" s="44" t="b">
        <v>0</v>
      </c>
      <c r="N18" s="44" t="b">
        <v>0</v>
      </c>
      <c r="O18" s="44" t="b">
        <v>0</v>
      </c>
      <c r="P18" s="44" t="b">
        <v>0</v>
      </c>
      <c r="Q18" s="82" t="b">
        <v>0</v>
      </c>
      <c r="R18" s="82" t="b">
        <v>0</v>
      </c>
      <c r="S18" s="82" t="b">
        <v>0</v>
      </c>
      <c r="T18" s="82" t="b">
        <v>0</v>
      </c>
      <c r="U18" s="82" t="b">
        <v>0</v>
      </c>
      <c r="V18" s="82" t="b">
        <v>0</v>
      </c>
      <c r="W18" s="82" t="b">
        <v>0</v>
      </c>
      <c r="X18" s="44" t="b">
        <v>0</v>
      </c>
      <c r="Y18" s="44" t="b">
        <v>0</v>
      </c>
      <c r="Z18" s="44" t="b">
        <v>0</v>
      </c>
      <c r="AA18" s="44" t="b">
        <v>0</v>
      </c>
      <c r="AB18" s="44" t="b">
        <v>0</v>
      </c>
      <c r="AC18" s="44" t="b">
        <v>0</v>
      </c>
      <c r="AD18" s="44" t="b">
        <v>0</v>
      </c>
      <c r="AE18" s="43" t="b">
        <v>0</v>
      </c>
      <c r="AF18" s="43" t="b">
        <v>0</v>
      </c>
      <c r="AG18" s="9"/>
      <c r="AH18" s="45">
        <f t="shared" si="1"/>
        <v>30</v>
      </c>
      <c r="AI18" s="46">
        <f t="shared" si="2"/>
        <v>0</v>
      </c>
      <c r="AJ18" s="29" t="str">
        <f>IFERROR(__xludf.DUMMYFUNCTION("SPARKLINE(AI18/AH18, {""charttype"",""bar"";""max"",1;""color1"",""#90EE90""})"),"")</f>
        <v/>
      </c>
      <c r="AK18" s="26"/>
      <c r="AL18" s="27"/>
      <c r="AM18" s="9"/>
    </row>
    <row r="19">
      <c r="B19" s="42"/>
      <c r="C19" s="82" t="b">
        <v>0</v>
      </c>
      <c r="D19" s="82" t="b">
        <v>0</v>
      </c>
      <c r="E19" s="82" t="b">
        <v>0</v>
      </c>
      <c r="F19" s="82" t="b">
        <v>0</v>
      </c>
      <c r="G19" s="82" t="b">
        <v>0</v>
      </c>
      <c r="H19" s="82" t="b">
        <v>0</v>
      </c>
      <c r="I19" s="82" t="b">
        <v>0</v>
      </c>
      <c r="J19" s="44" t="b">
        <v>0</v>
      </c>
      <c r="K19" s="44" t="b">
        <v>0</v>
      </c>
      <c r="L19" s="44" t="b">
        <v>0</v>
      </c>
      <c r="M19" s="44" t="b">
        <v>0</v>
      </c>
      <c r="N19" s="44" t="b">
        <v>0</v>
      </c>
      <c r="O19" s="44" t="b">
        <v>0</v>
      </c>
      <c r="P19" s="44" t="b">
        <v>0</v>
      </c>
      <c r="Q19" s="82" t="b">
        <v>0</v>
      </c>
      <c r="R19" s="82" t="b">
        <v>0</v>
      </c>
      <c r="S19" s="82" t="b">
        <v>0</v>
      </c>
      <c r="T19" s="82" t="b">
        <v>0</v>
      </c>
      <c r="U19" s="82" t="b">
        <v>0</v>
      </c>
      <c r="V19" s="82" t="b">
        <v>0</v>
      </c>
      <c r="W19" s="82" t="b">
        <v>0</v>
      </c>
      <c r="X19" s="44" t="b">
        <v>0</v>
      </c>
      <c r="Y19" s="44" t="b">
        <v>0</v>
      </c>
      <c r="Z19" s="44" t="b">
        <v>0</v>
      </c>
      <c r="AA19" s="44" t="b">
        <v>0</v>
      </c>
      <c r="AB19" s="44" t="b">
        <v>0</v>
      </c>
      <c r="AC19" s="44" t="b">
        <v>0</v>
      </c>
      <c r="AD19" s="44" t="b">
        <v>0</v>
      </c>
      <c r="AE19" s="43" t="b">
        <v>0</v>
      </c>
      <c r="AF19" s="43" t="b">
        <v>0</v>
      </c>
      <c r="AG19" s="9"/>
      <c r="AH19" s="45">
        <f t="shared" si="1"/>
        <v>30</v>
      </c>
      <c r="AI19" s="46">
        <f t="shared" si="2"/>
        <v>0</v>
      </c>
      <c r="AJ19" s="29" t="str">
        <f>IFERROR(__xludf.DUMMYFUNCTION("SPARKLINE(AI19/AH19, {""charttype"",""bar"";""max"",1;""color1"",""#90EE90""})"),"")</f>
        <v/>
      </c>
      <c r="AK19" s="26"/>
      <c r="AL19" s="27"/>
      <c r="AM19" s="9"/>
    </row>
    <row r="20">
      <c r="B20" s="47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</row>
    <row r="21">
      <c r="B21" s="40" t="s">
        <v>11</v>
      </c>
      <c r="C21" s="49">
        <f t="shared" ref="C21:AF21" si="3">COUNTIF(C10:C19, TRUE)/COUNTA(C10:C19)</f>
        <v>0</v>
      </c>
      <c r="D21" s="49">
        <f t="shared" si="3"/>
        <v>0</v>
      </c>
      <c r="E21" s="49">
        <f t="shared" si="3"/>
        <v>0</v>
      </c>
      <c r="F21" s="49">
        <f t="shared" si="3"/>
        <v>0</v>
      </c>
      <c r="G21" s="49">
        <f t="shared" si="3"/>
        <v>0</v>
      </c>
      <c r="H21" s="49">
        <f t="shared" si="3"/>
        <v>0</v>
      </c>
      <c r="I21" s="49">
        <f t="shared" si="3"/>
        <v>0</v>
      </c>
      <c r="J21" s="49">
        <f t="shared" si="3"/>
        <v>0</v>
      </c>
      <c r="K21" s="49">
        <f t="shared" si="3"/>
        <v>0</v>
      </c>
      <c r="L21" s="49">
        <f t="shared" si="3"/>
        <v>0</v>
      </c>
      <c r="M21" s="49">
        <f t="shared" si="3"/>
        <v>0</v>
      </c>
      <c r="N21" s="49">
        <f t="shared" si="3"/>
        <v>0</v>
      </c>
      <c r="O21" s="49">
        <f t="shared" si="3"/>
        <v>0</v>
      </c>
      <c r="P21" s="49">
        <f t="shared" si="3"/>
        <v>0</v>
      </c>
      <c r="Q21" s="49">
        <f t="shared" si="3"/>
        <v>0</v>
      </c>
      <c r="R21" s="49">
        <f t="shared" si="3"/>
        <v>0</v>
      </c>
      <c r="S21" s="49">
        <f t="shared" si="3"/>
        <v>0</v>
      </c>
      <c r="T21" s="49">
        <f t="shared" si="3"/>
        <v>0</v>
      </c>
      <c r="U21" s="49">
        <f t="shared" si="3"/>
        <v>0</v>
      </c>
      <c r="V21" s="49">
        <f t="shared" si="3"/>
        <v>0</v>
      </c>
      <c r="W21" s="49">
        <f t="shared" si="3"/>
        <v>0</v>
      </c>
      <c r="X21" s="49">
        <f t="shared" si="3"/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B21" s="49">
        <f t="shared" si="3"/>
        <v>0</v>
      </c>
      <c r="AC21" s="49">
        <f t="shared" si="3"/>
        <v>0</v>
      </c>
      <c r="AD21" s="49">
        <f t="shared" si="3"/>
        <v>0</v>
      </c>
      <c r="AE21" s="49">
        <f t="shared" si="3"/>
        <v>0</v>
      </c>
      <c r="AF21" s="49">
        <f t="shared" si="3"/>
        <v>0</v>
      </c>
    </row>
    <row r="22">
      <c r="B22" s="40" t="s">
        <v>38</v>
      </c>
      <c r="C22" s="46">
        <f t="shared" ref="C22:AF22" si="4">COUNTIF(C10:C19, TRUE)</f>
        <v>0</v>
      </c>
      <c r="D22" s="46">
        <f t="shared" si="4"/>
        <v>0</v>
      </c>
      <c r="E22" s="46">
        <f t="shared" si="4"/>
        <v>0</v>
      </c>
      <c r="F22" s="46">
        <f t="shared" si="4"/>
        <v>0</v>
      </c>
      <c r="G22" s="46">
        <f t="shared" si="4"/>
        <v>0</v>
      </c>
      <c r="H22" s="46">
        <f t="shared" si="4"/>
        <v>0</v>
      </c>
      <c r="I22" s="46">
        <f t="shared" si="4"/>
        <v>0</v>
      </c>
      <c r="J22" s="46">
        <f t="shared" si="4"/>
        <v>0</v>
      </c>
      <c r="K22" s="46">
        <f t="shared" si="4"/>
        <v>0</v>
      </c>
      <c r="L22" s="46">
        <f t="shared" si="4"/>
        <v>0</v>
      </c>
      <c r="M22" s="46">
        <f t="shared" si="4"/>
        <v>0</v>
      </c>
      <c r="N22" s="46">
        <f t="shared" si="4"/>
        <v>0</v>
      </c>
      <c r="O22" s="46">
        <f t="shared" si="4"/>
        <v>0</v>
      </c>
      <c r="P22" s="46">
        <f t="shared" si="4"/>
        <v>0</v>
      </c>
      <c r="Q22" s="46">
        <f t="shared" si="4"/>
        <v>0</v>
      </c>
      <c r="R22" s="46">
        <f t="shared" si="4"/>
        <v>0</v>
      </c>
      <c r="S22" s="46">
        <f t="shared" si="4"/>
        <v>0</v>
      </c>
      <c r="T22" s="46">
        <f t="shared" si="4"/>
        <v>0</v>
      </c>
      <c r="U22" s="46">
        <f t="shared" si="4"/>
        <v>0</v>
      </c>
      <c r="V22" s="46">
        <f t="shared" si="4"/>
        <v>0</v>
      </c>
      <c r="W22" s="46">
        <f t="shared" si="4"/>
        <v>0</v>
      </c>
      <c r="X22" s="46">
        <f t="shared" si="4"/>
        <v>0</v>
      </c>
      <c r="Y22" s="46">
        <f t="shared" si="4"/>
        <v>0</v>
      </c>
      <c r="Z22" s="46">
        <f t="shared" si="4"/>
        <v>0</v>
      </c>
      <c r="AA22" s="46">
        <f t="shared" si="4"/>
        <v>0</v>
      </c>
      <c r="AB22" s="46">
        <f t="shared" si="4"/>
        <v>0</v>
      </c>
      <c r="AC22" s="46">
        <f t="shared" si="4"/>
        <v>0</v>
      </c>
      <c r="AD22" s="46">
        <f t="shared" si="4"/>
        <v>0</v>
      </c>
      <c r="AE22" s="46">
        <f t="shared" si="4"/>
        <v>0</v>
      </c>
      <c r="AF22" s="46">
        <f t="shared" si="4"/>
        <v>0</v>
      </c>
    </row>
    <row r="23">
      <c r="B23" s="40" t="s">
        <v>39</v>
      </c>
      <c r="C23" s="46">
        <f t="shared" ref="C23:AF23" si="5">COUNTIF(C10:C19, FALSE)</f>
        <v>10</v>
      </c>
      <c r="D23" s="46">
        <f t="shared" si="5"/>
        <v>10</v>
      </c>
      <c r="E23" s="46">
        <f t="shared" si="5"/>
        <v>10</v>
      </c>
      <c r="F23" s="46">
        <f t="shared" si="5"/>
        <v>10</v>
      </c>
      <c r="G23" s="46">
        <f t="shared" si="5"/>
        <v>10</v>
      </c>
      <c r="H23" s="46">
        <f t="shared" si="5"/>
        <v>10</v>
      </c>
      <c r="I23" s="46">
        <f t="shared" si="5"/>
        <v>10</v>
      </c>
      <c r="J23" s="46">
        <f t="shared" si="5"/>
        <v>10</v>
      </c>
      <c r="K23" s="46">
        <f t="shared" si="5"/>
        <v>10</v>
      </c>
      <c r="L23" s="46">
        <f t="shared" si="5"/>
        <v>10</v>
      </c>
      <c r="M23" s="46">
        <f t="shared" si="5"/>
        <v>10</v>
      </c>
      <c r="N23" s="46">
        <f t="shared" si="5"/>
        <v>10</v>
      </c>
      <c r="O23" s="46">
        <f t="shared" si="5"/>
        <v>10</v>
      </c>
      <c r="P23" s="46">
        <f t="shared" si="5"/>
        <v>10</v>
      </c>
      <c r="Q23" s="46">
        <f t="shared" si="5"/>
        <v>10</v>
      </c>
      <c r="R23" s="46">
        <f t="shared" si="5"/>
        <v>10</v>
      </c>
      <c r="S23" s="46">
        <f t="shared" si="5"/>
        <v>10</v>
      </c>
      <c r="T23" s="46">
        <f t="shared" si="5"/>
        <v>10</v>
      </c>
      <c r="U23" s="46">
        <f t="shared" si="5"/>
        <v>10</v>
      </c>
      <c r="V23" s="46">
        <f t="shared" si="5"/>
        <v>10</v>
      </c>
      <c r="W23" s="46">
        <f t="shared" si="5"/>
        <v>10</v>
      </c>
      <c r="X23" s="46">
        <f t="shared" si="5"/>
        <v>10</v>
      </c>
      <c r="Y23" s="46">
        <f t="shared" si="5"/>
        <v>10</v>
      </c>
      <c r="Z23" s="46">
        <f t="shared" si="5"/>
        <v>10</v>
      </c>
      <c r="AA23" s="46">
        <f t="shared" si="5"/>
        <v>10</v>
      </c>
      <c r="AB23" s="46">
        <f t="shared" si="5"/>
        <v>10</v>
      </c>
      <c r="AC23" s="46">
        <f t="shared" si="5"/>
        <v>10</v>
      </c>
      <c r="AD23" s="46">
        <f t="shared" si="5"/>
        <v>10</v>
      </c>
      <c r="AE23" s="46">
        <f t="shared" si="5"/>
        <v>10</v>
      </c>
      <c r="AF23" s="46">
        <f t="shared" si="5"/>
        <v>10</v>
      </c>
    </row>
    <row r="33">
      <c r="B33" s="50"/>
      <c r="C33" s="41" t="s">
        <v>40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>
      <c r="B34" s="40" t="s">
        <v>41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</row>
    <row r="35">
      <c r="B35" s="40" t="s">
        <v>42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</row>
    <row r="36">
      <c r="C36" s="53">
        <f t="shared" ref="C36:AF36" si="6">(C35+C34)/20</f>
        <v>0</v>
      </c>
      <c r="D36" s="53">
        <f t="shared" si="6"/>
        <v>0</v>
      </c>
      <c r="E36" s="53">
        <f t="shared" si="6"/>
        <v>0</v>
      </c>
      <c r="F36" s="53">
        <f t="shared" si="6"/>
        <v>0</v>
      </c>
      <c r="G36" s="53">
        <f t="shared" si="6"/>
        <v>0</v>
      </c>
      <c r="H36" s="53">
        <f t="shared" si="6"/>
        <v>0</v>
      </c>
      <c r="I36" s="53">
        <f t="shared" si="6"/>
        <v>0</v>
      </c>
      <c r="J36" s="53">
        <f t="shared" si="6"/>
        <v>0</v>
      </c>
      <c r="K36" s="53">
        <f t="shared" si="6"/>
        <v>0</v>
      </c>
      <c r="L36" s="53">
        <f t="shared" si="6"/>
        <v>0</v>
      </c>
      <c r="M36" s="53">
        <f t="shared" si="6"/>
        <v>0</v>
      </c>
      <c r="N36" s="53">
        <f t="shared" si="6"/>
        <v>0</v>
      </c>
      <c r="O36" s="53">
        <f t="shared" si="6"/>
        <v>0</v>
      </c>
      <c r="P36" s="53">
        <f t="shared" si="6"/>
        <v>0</v>
      </c>
      <c r="Q36" s="53">
        <f t="shared" si="6"/>
        <v>0</v>
      </c>
      <c r="R36" s="53">
        <f t="shared" si="6"/>
        <v>0</v>
      </c>
      <c r="S36" s="53">
        <f t="shared" si="6"/>
        <v>0</v>
      </c>
      <c r="T36" s="53">
        <f t="shared" si="6"/>
        <v>0</v>
      </c>
      <c r="U36" s="53">
        <f t="shared" si="6"/>
        <v>0</v>
      </c>
      <c r="V36" s="53">
        <f t="shared" si="6"/>
        <v>0</v>
      </c>
      <c r="W36" s="53">
        <f t="shared" si="6"/>
        <v>0</v>
      </c>
      <c r="X36" s="53">
        <f t="shared" si="6"/>
        <v>0</v>
      </c>
      <c r="Y36" s="53">
        <f t="shared" si="6"/>
        <v>0</v>
      </c>
      <c r="Z36" s="53">
        <f t="shared" si="6"/>
        <v>0</v>
      </c>
      <c r="AA36" s="53">
        <f t="shared" si="6"/>
        <v>0</v>
      </c>
      <c r="AB36" s="53">
        <f t="shared" si="6"/>
        <v>0</v>
      </c>
      <c r="AC36" s="53">
        <f t="shared" si="6"/>
        <v>0</v>
      </c>
      <c r="AD36" s="53">
        <f t="shared" si="6"/>
        <v>0</v>
      </c>
      <c r="AE36" s="53">
        <f t="shared" si="6"/>
        <v>0</v>
      </c>
      <c r="AF36" s="53">
        <f t="shared" si="6"/>
        <v>0</v>
      </c>
    </row>
  </sheetData>
  <mergeCells count="28">
    <mergeCell ref="AB3:AD3"/>
    <mergeCell ref="AB4:AD4"/>
    <mergeCell ref="B3:H4"/>
    <mergeCell ref="J3:N3"/>
    <mergeCell ref="P3:T3"/>
    <mergeCell ref="V3:Z3"/>
    <mergeCell ref="J4:N4"/>
    <mergeCell ref="P4:T4"/>
    <mergeCell ref="V4:Z4"/>
    <mergeCell ref="B7:B9"/>
    <mergeCell ref="C7:I7"/>
    <mergeCell ref="J7:P7"/>
    <mergeCell ref="Q7:W7"/>
    <mergeCell ref="X7:AD7"/>
    <mergeCell ref="AE7:AF7"/>
    <mergeCell ref="AH7:AL8"/>
    <mergeCell ref="AJ16:AL16"/>
    <mergeCell ref="AJ17:AL17"/>
    <mergeCell ref="AJ18:AL18"/>
    <mergeCell ref="AJ19:AL19"/>
    <mergeCell ref="C33:AF33"/>
    <mergeCell ref="AJ9:AL9"/>
    <mergeCell ref="AJ10:AL10"/>
    <mergeCell ref="AJ11:AL11"/>
    <mergeCell ref="AJ12:AL12"/>
    <mergeCell ref="AJ13:AL13"/>
    <mergeCell ref="AJ14:AL14"/>
    <mergeCell ref="AJ15:AL15"/>
  </mergeCells>
  <dataValidations>
    <dataValidation type="list" allowBlank="1" showErrorMessage="1" sqref="C34:AF35">
      <formula1>"10,9,8,7,6,5,4,3,2,1,0"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23.25"/>
    <col customWidth="1" min="3" max="34" width="4.13"/>
    <col customWidth="1" min="35" max="35" width="10.0"/>
    <col customWidth="1" min="36" max="36" width="8.0"/>
    <col customWidth="1" min="37" max="40" width="4.13"/>
  </cols>
  <sheetData>
    <row r="2">
      <c r="B2" s="64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6"/>
      <c r="AN2" s="9"/>
    </row>
    <row r="3">
      <c r="B3" s="10" t="s">
        <v>64</v>
      </c>
      <c r="I3" s="67"/>
      <c r="J3" s="68" t="s">
        <v>70</v>
      </c>
      <c r="O3" s="69"/>
      <c r="P3" s="68" t="s">
        <v>10</v>
      </c>
      <c r="U3" s="69"/>
      <c r="V3" s="68" t="s">
        <v>11</v>
      </c>
      <c r="AA3" s="69"/>
      <c r="AB3" s="68" t="s">
        <v>12</v>
      </c>
      <c r="AE3" s="12"/>
      <c r="AF3" s="12"/>
      <c r="AG3" s="12"/>
      <c r="AH3" s="70"/>
      <c r="AI3" s="71"/>
      <c r="AJ3" s="71"/>
      <c r="AK3" s="71"/>
      <c r="AL3" s="71"/>
      <c r="AM3" s="72"/>
      <c r="AN3" s="9"/>
    </row>
    <row r="4">
      <c r="B4" s="17"/>
      <c r="I4" s="67"/>
      <c r="J4" s="71">
        <f>COUNTA($B$10:$B$19)</f>
        <v>0</v>
      </c>
      <c r="O4" s="70"/>
      <c r="P4" s="71">
        <f>COUNTIF($C$10:$AF$19, TRUE)</f>
        <v>0</v>
      </c>
      <c r="U4" s="70"/>
      <c r="V4" s="73" t="str">
        <f>IFERROR(__xludf.DUMMYFUNCTION("SPARKLINE(AB4, {""charttype"",""bar"";""max"",1;""color1"",""#90EE90""})"),"")</f>
        <v/>
      </c>
      <c r="AA4" s="70"/>
      <c r="AB4" s="74">
        <f>(P4)/(COUNTA($C$10:$C$19)*COUNTA($C$10:$AG$10))</f>
        <v>0</v>
      </c>
      <c r="AE4" s="74"/>
      <c r="AF4" s="74"/>
      <c r="AG4" s="74"/>
      <c r="AH4" s="70"/>
      <c r="AI4" s="71"/>
      <c r="AJ4" s="71"/>
      <c r="AK4" s="71"/>
      <c r="AL4" s="71"/>
      <c r="AM4" s="72"/>
      <c r="AN4" s="9"/>
    </row>
    <row r="5">
      <c r="B5" s="75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7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8"/>
      <c r="AN5" s="9"/>
    </row>
    <row r="6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>
      <c r="B7" s="24" t="s">
        <v>13</v>
      </c>
      <c r="C7" s="25" t="s">
        <v>14</v>
      </c>
      <c r="D7" s="26"/>
      <c r="E7" s="26"/>
      <c r="F7" s="26"/>
      <c r="G7" s="26"/>
      <c r="H7" s="26"/>
      <c r="I7" s="27"/>
      <c r="J7" s="28" t="s">
        <v>15</v>
      </c>
      <c r="K7" s="26"/>
      <c r="L7" s="26"/>
      <c r="M7" s="26"/>
      <c r="N7" s="26"/>
      <c r="O7" s="26"/>
      <c r="P7" s="27"/>
      <c r="Q7" s="25" t="s">
        <v>16</v>
      </c>
      <c r="R7" s="26"/>
      <c r="S7" s="26"/>
      <c r="T7" s="26"/>
      <c r="U7" s="26"/>
      <c r="V7" s="26"/>
      <c r="W7" s="27"/>
      <c r="X7" s="28" t="s">
        <v>17</v>
      </c>
      <c r="Y7" s="26"/>
      <c r="Z7" s="26"/>
      <c r="AA7" s="26"/>
      <c r="AB7" s="26"/>
      <c r="AC7" s="26"/>
      <c r="AD7" s="27"/>
      <c r="AE7" s="29"/>
      <c r="AF7" s="27"/>
      <c r="AG7" s="79"/>
      <c r="AH7" s="9"/>
      <c r="AI7" s="30" t="s">
        <v>18</v>
      </c>
      <c r="AJ7" s="31"/>
      <c r="AK7" s="31"/>
      <c r="AL7" s="31"/>
      <c r="AM7" s="32"/>
    </row>
    <row r="8">
      <c r="B8" s="33"/>
      <c r="C8" s="34" t="s">
        <v>23</v>
      </c>
      <c r="D8" s="34" t="s">
        <v>24</v>
      </c>
      <c r="E8" s="34" t="s">
        <v>25</v>
      </c>
      <c r="F8" s="34" t="s">
        <v>19</v>
      </c>
      <c r="G8" s="34" t="s">
        <v>20</v>
      </c>
      <c r="H8" s="34" t="s">
        <v>21</v>
      </c>
      <c r="I8" s="34" t="s">
        <v>22</v>
      </c>
      <c r="J8" s="35" t="s">
        <v>23</v>
      </c>
      <c r="K8" s="35" t="s">
        <v>24</v>
      </c>
      <c r="L8" s="35" t="s">
        <v>25</v>
      </c>
      <c r="M8" s="35" t="s">
        <v>19</v>
      </c>
      <c r="N8" s="35" t="s">
        <v>20</v>
      </c>
      <c r="O8" s="35" t="s">
        <v>21</v>
      </c>
      <c r="P8" s="35" t="s">
        <v>22</v>
      </c>
      <c r="Q8" s="34" t="s">
        <v>23</v>
      </c>
      <c r="R8" s="34" t="s">
        <v>24</v>
      </c>
      <c r="S8" s="34" t="s">
        <v>25</v>
      </c>
      <c r="T8" s="34" t="s">
        <v>19</v>
      </c>
      <c r="U8" s="34" t="s">
        <v>20</v>
      </c>
      <c r="V8" s="34" t="s">
        <v>21</v>
      </c>
      <c r="W8" s="34" t="s">
        <v>22</v>
      </c>
      <c r="X8" s="35" t="s">
        <v>23</v>
      </c>
      <c r="Y8" s="35" t="s">
        <v>24</v>
      </c>
      <c r="Z8" s="35" t="s">
        <v>25</v>
      </c>
      <c r="AA8" s="35" t="s">
        <v>19</v>
      </c>
      <c r="AB8" s="35" t="s">
        <v>20</v>
      </c>
      <c r="AC8" s="35" t="s">
        <v>21</v>
      </c>
      <c r="AD8" s="35" t="s">
        <v>22</v>
      </c>
      <c r="AE8" s="80" t="s">
        <v>23</v>
      </c>
      <c r="AF8" s="80" t="s">
        <v>24</v>
      </c>
      <c r="AG8" s="34" t="s">
        <v>25</v>
      </c>
      <c r="AH8" s="9"/>
      <c r="AI8" s="36"/>
      <c r="AJ8" s="37"/>
      <c r="AK8" s="37"/>
      <c r="AL8" s="37"/>
      <c r="AM8" s="38"/>
    </row>
    <row r="9">
      <c r="B9" s="39"/>
      <c r="C9" s="34">
        <v>1.0</v>
      </c>
      <c r="D9" s="34">
        <v>2.0</v>
      </c>
      <c r="E9" s="34">
        <v>3.0</v>
      </c>
      <c r="F9" s="34">
        <v>4.0</v>
      </c>
      <c r="G9" s="34">
        <v>5.0</v>
      </c>
      <c r="H9" s="34">
        <v>6.0</v>
      </c>
      <c r="I9" s="34">
        <v>7.0</v>
      </c>
      <c r="J9" s="35">
        <v>8.0</v>
      </c>
      <c r="K9" s="35">
        <v>9.0</v>
      </c>
      <c r="L9" s="35">
        <v>10.0</v>
      </c>
      <c r="M9" s="35">
        <v>11.0</v>
      </c>
      <c r="N9" s="35">
        <v>12.0</v>
      </c>
      <c r="O9" s="35">
        <v>13.0</v>
      </c>
      <c r="P9" s="35">
        <v>14.0</v>
      </c>
      <c r="Q9" s="34">
        <v>15.0</v>
      </c>
      <c r="R9" s="34">
        <v>16.0</v>
      </c>
      <c r="S9" s="34">
        <v>17.0</v>
      </c>
      <c r="T9" s="34">
        <v>18.0</v>
      </c>
      <c r="U9" s="34">
        <v>19.0</v>
      </c>
      <c r="V9" s="34">
        <v>20.0</v>
      </c>
      <c r="W9" s="34">
        <v>21.0</v>
      </c>
      <c r="X9" s="35">
        <v>22.0</v>
      </c>
      <c r="Y9" s="35">
        <v>23.0</v>
      </c>
      <c r="Z9" s="35">
        <v>24.0</v>
      </c>
      <c r="AA9" s="35">
        <v>25.0</v>
      </c>
      <c r="AB9" s="35">
        <v>26.0</v>
      </c>
      <c r="AC9" s="35">
        <v>27.0</v>
      </c>
      <c r="AD9" s="35">
        <v>28.0</v>
      </c>
      <c r="AE9" s="34">
        <v>29.0</v>
      </c>
      <c r="AF9" s="25">
        <v>30.0</v>
      </c>
      <c r="AG9" s="81">
        <v>31.0</v>
      </c>
      <c r="AH9" s="9"/>
      <c r="AI9" s="40" t="s">
        <v>26</v>
      </c>
      <c r="AJ9" s="40" t="s">
        <v>27</v>
      </c>
      <c r="AK9" s="41" t="s">
        <v>11</v>
      </c>
      <c r="AL9" s="26"/>
      <c r="AM9" s="27"/>
    </row>
    <row r="10">
      <c r="B10" s="42"/>
      <c r="C10" s="82" t="b">
        <v>0</v>
      </c>
      <c r="D10" s="82" t="b">
        <v>0</v>
      </c>
      <c r="E10" s="82" t="b">
        <v>0</v>
      </c>
      <c r="F10" s="82" t="b">
        <v>0</v>
      </c>
      <c r="G10" s="82" t="b">
        <v>0</v>
      </c>
      <c r="H10" s="82" t="b">
        <v>0</v>
      </c>
      <c r="I10" s="82" t="b">
        <v>0</v>
      </c>
      <c r="J10" s="44" t="b">
        <v>0</v>
      </c>
      <c r="K10" s="44" t="b">
        <v>0</v>
      </c>
      <c r="L10" s="44" t="b">
        <v>0</v>
      </c>
      <c r="M10" s="44" t="b">
        <v>0</v>
      </c>
      <c r="N10" s="44" t="b">
        <v>0</v>
      </c>
      <c r="O10" s="44" t="b">
        <v>0</v>
      </c>
      <c r="P10" s="44" t="b">
        <v>0</v>
      </c>
      <c r="Q10" s="82" t="b">
        <v>0</v>
      </c>
      <c r="R10" s="82" t="b">
        <v>0</v>
      </c>
      <c r="S10" s="82" t="b">
        <v>0</v>
      </c>
      <c r="T10" s="82" t="b">
        <v>0</v>
      </c>
      <c r="U10" s="82" t="b">
        <v>0</v>
      </c>
      <c r="V10" s="82" t="b">
        <v>0</v>
      </c>
      <c r="W10" s="82" t="b">
        <v>0</v>
      </c>
      <c r="X10" s="44" t="b">
        <v>0</v>
      </c>
      <c r="Y10" s="44" t="b">
        <v>0</v>
      </c>
      <c r="Z10" s="44" t="b">
        <v>0</v>
      </c>
      <c r="AA10" s="44" t="b">
        <v>0</v>
      </c>
      <c r="AB10" s="44" t="b">
        <v>0</v>
      </c>
      <c r="AC10" s="44" t="b">
        <v>0</v>
      </c>
      <c r="AD10" s="44" t="b">
        <v>0</v>
      </c>
      <c r="AE10" s="43" t="b">
        <v>0</v>
      </c>
      <c r="AF10" s="43" t="b">
        <v>0</v>
      </c>
      <c r="AG10" s="43" t="b">
        <v>0</v>
      </c>
      <c r="AH10" s="9"/>
      <c r="AI10" s="45">
        <f t="shared" ref="AI10:AI19" si="1">31</f>
        <v>31</v>
      </c>
      <c r="AJ10" s="46">
        <f t="shared" ref="AJ10:AJ19" si="2">COUNTIF(C10:AG10, TRUE)</f>
        <v>0</v>
      </c>
      <c r="AK10" s="29" t="str">
        <f>IFERROR(__xludf.DUMMYFUNCTION("SPARKLINE(AJ10/AI10, {""charttype"",""bar"";""max"",1;""color1"",""#90EE90""})"),"")</f>
        <v/>
      </c>
      <c r="AL10" s="26"/>
      <c r="AM10" s="27"/>
      <c r="AN10" s="9"/>
    </row>
    <row r="11">
      <c r="B11" s="42"/>
      <c r="C11" s="82" t="b">
        <v>0</v>
      </c>
      <c r="D11" s="82" t="b">
        <v>0</v>
      </c>
      <c r="E11" s="82" t="b">
        <v>0</v>
      </c>
      <c r="F11" s="82" t="b">
        <v>0</v>
      </c>
      <c r="G11" s="82" t="b">
        <v>0</v>
      </c>
      <c r="H11" s="82" t="b">
        <v>0</v>
      </c>
      <c r="I11" s="82" t="b">
        <v>0</v>
      </c>
      <c r="J11" s="44" t="b">
        <v>0</v>
      </c>
      <c r="K11" s="44" t="b">
        <v>0</v>
      </c>
      <c r="L11" s="44" t="b">
        <v>0</v>
      </c>
      <c r="M11" s="44" t="b">
        <v>0</v>
      </c>
      <c r="N11" s="44" t="b">
        <v>0</v>
      </c>
      <c r="O11" s="44" t="b">
        <v>0</v>
      </c>
      <c r="P11" s="44" t="b">
        <v>0</v>
      </c>
      <c r="Q11" s="82" t="b">
        <v>0</v>
      </c>
      <c r="R11" s="82" t="b">
        <v>0</v>
      </c>
      <c r="S11" s="82" t="b">
        <v>0</v>
      </c>
      <c r="T11" s="82" t="b">
        <v>0</v>
      </c>
      <c r="U11" s="82" t="b">
        <v>0</v>
      </c>
      <c r="V11" s="82" t="b">
        <v>0</v>
      </c>
      <c r="W11" s="82" t="b">
        <v>0</v>
      </c>
      <c r="X11" s="44" t="b">
        <v>0</v>
      </c>
      <c r="Y11" s="44" t="b">
        <v>0</v>
      </c>
      <c r="Z11" s="44" t="b">
        <v>0</v>
      </c>
      <c r="AA11" s="44" t="b">
        <v>0</v>
      </c>
      <c r="AB11" s="44" t="b">
        <v>0</v>
      </c>
      <c r="AC11" s="44" t="b">
        <v>0</v>
      </c>
      <c r="AD11" s="44" t="b">
        <v>0</v>
      </c>
      <c r="AE11" s="43" t="b">
        <v>0</v>
      </c>
      <c r="AF11" s="43" t="b">
        <v>0</v>
      </c>
      <c r="AG11" s="43" t="b">
        <v>0</v>
      </c>
      <c r="AH11" s="9"/>
      <c r="AI11" s="45">
        <f t="shared" si="1"/>
        <v>31</v>
      </c>
      <c r="AJ11" s="46">
        <f t="shared" si="2"/>
        <v>0</v>
      </c>
      <c r="AK11" s="29" t="str">
        <f>IFERROR(__xludf.DUMMYFUNCTION("SPARKLINE(AJ11/AI11, {""charttype"",""bar"";""max"",1;""color1"",""#90EE90""})"),"")</f>
        <v/>
      </c>
      <c r="AL11" s="26"/>
      <c r="AM11" s="27"/>
      <c r="AN11" s="9"/>
    </row>
    <row r="12">
      <c r="B12" s="42"/>
      <c r="C12" s="82" t="b">
        <v>0</v>
      </c>
      <c r="D12" s="82" t="b">
        <v>0</v>
      </c>
      <c r="E12" s="82" t="b">
        <v>0</v>
      </c>
      <c r="F12" s="82" t="b">
        <v>0</v>
      </c>
      <c r="G12" s="82" t="b">
        <v>0</v>
      </c>
      <c r="H12" s="82" t="b">
        <v>0</v>
      </c>
      <c r="I12" s="82" t="b">
        <v>0</v>
      </c>
      <c r="J12" s="44" t="b">
        <v>0</v>
      </c>
      <c r="K12" s="44" t="b">
        <v>0</v>
      </c>
      <c r="L12" s="44" t="b">
        <v>0</v>
      </c>
      <c r="M12" s="44" t="b">
        <v>0</v>
      </c>
      <c r="N12" s="44" t="b">
        <v>0</v>
      </c>
      <c r="O12" s="44" t="b">
        <v>0</v>
      </c>
      <c r="P12" s="44" t="b">
        <v>0</v>
      </c>
      <c r="Q12" s="82" t="b">
        <v>0</v>
      </c>
      <c r="R12" s="82" t="b">
        <v>0</v>
      </c>
      <c r="S12" s="82" t="b">
        <v>0</v>
      </c>
      <c r="T12" s="82" t="b">
        <v>0</v>
      </c>
      <c r="U12" s="82" t="b">
        <v>0</v>
      </c>
      <c r="V12" s="82" t="b">
        <v>0</v>
      </c>
      <c r="W12" s="82" t="b">
        <v>0</v>
      </c>
      <c r="X12" s="44" t="b">
        <v>0</v>
      </c>
      <c r="Y12" s="44" t="b">
        <v>0</v>
      </c>
      <c r="Z12" s="44" t="b">
        <v>0</v>
      </c>
      <c r="AA12" s="44" t="b">
        <v>0</v>
      </c>
      <c r="AB12" s="44" t="b">
        <v>0</v>
      </c>
      <c r="AC12" s="44" t="b">
        <v>0</v>
      </c>
      <c r="AD12" s="44" t="b">
        <v>0</v>
      </c>
      <c r="AE12" s="43" t="b">
        <v>0</v>
      </c>
      <c r="AF12" s="43" t="b">
        <v>0</v>
      </c>
      <c r="AG12" s="43" t="b">
        <v>0</v>
      </c>
      <c r="AH12" s="9"/>
      <c r="AI12" s="45">
        <f t="shared" si="1"/>
        <v>31</v>
      </c>
      <c r="AJ12" s="46">
        <f t="shared" si="2"/>
        <v>0</v>
      </c>
      <c r="AK12" s="29" t="str">
        <f>IFERROR(__xludf.DUMMYFUNCTION("SPARKLINE(AJ12/AI12, {""charttype"",""bar"";""max"",1;""color1"",""#90EE90""})"),"")</f>
        <v/>
      </c>
      <c r="AL12" s="26"/>
      <c r="AM12" s="27"/>
      <c r="AN12" s="9"/>
    </row>
    <row r="13">
      <c r="B13" s="42"/>
      <c r="C13" s="82" t="b">
        <v>0</v>
      </c>
      <c r="D13" s="82" t="b">
        <v>0</v>
      </c>
      <c r="E13" s="82" t="b">
        <v>0</v>
      </c>
      <c r="F13" s="82" t="b">
        <v>0</v>
      </c>
      <c r="G13" s="82" t="b">
        <v>0</v>
      </c>
      <c r="H13" s="82" t="b">
        <v>0</v>
      </c>
      <c r="I13" s="82" t="b">
        <v>0</v>
      </c>
      <c r="J13" s="44" t="b">
        <v>0</v>
      </c>
      <c r="K13" s="44" t="b">
        <v>0</v>
      </c>
      <c r="L13" s="44" t="b">
        <v>0</v>
      </c>
      <c r="M13" s="44" t="b">
        <v>0</v>
      </c>
      <c r="N13" s="44" t="b">
        <v>0</v>
      </c>
      <c r="O13" s="44" t="b">
        <v>0</v>
      </c>
      <c r="P13" s="44" t="b">
        <v>0</v>
      </c>
      <c r="Q13" s="82" t="b">
        <v>0</v>
      </c>
      <c r="R13" s="82" t="b">
        <v>0</v>
      </c>
      <c r="S13" s="82" t="b">
        <v>0</v>
      </c>
      <c r="T13" s="82" t="b">
        <v>0</v>
      </c>
      <c r="U13" s="82" t="b">
        <v>0</v>
      </c>
      <c r="V13" s="82" t="b">
        <v>0</v>
      </c>
      <c r="W13" s="82" t="b">
        <v>0</v>
      </c>
      <c r="X13" s="44" t="b">
        <v>0</v>
      </c>
      <c r="Y13" s="44" t="b">
        <v>0</v>
      </c>
      <c r="Z13" s="44" t="b">
        <v>0</v>
      </c>
      <c r="AA13" s="44" t="b">
        <v>0</v>
      </c>
      <c r="AB13" s="44" t="b">
        <v>0</v>
      </c>
      <c r="AC13" s="44" t="b">
        <v>0</v>
      </c>
      <c r="AD13" s="44" t="b">
        <v>0</v>
      </c>
      <c r="AE13" s="43" t="b">
        <v>0</v>
      </c>
      <c r="AF13" s="43" t="b">
        <v>0</v>
      </c>
      <c r="AG13" s="43" t="b">
        <v>0</v>
      </c>
      <c r="AH13" s="9"/>
      <c r="AI13" s="45">
        <f t="shared" si="1"/>
        <v>31</v>
      </c>
      <c r="AJ13" s="46">
        <f t="shared" si="2"/>
        <v>0</v>
      </c>
      <c r="AK13" s="29" t="str">
        <f>IFERROR(__xludf.DUMMYFUNCTION("SPARKLINE(AJ13/AI13, {""charttype"",""bar"";""max"",1;""color1"",""#90EE90""})"),"")</f>
        <v/>
      </c>
      <c r="AL13" s="26"/>
      <c r="AM13" s="27"/>
      <c r="AN13" s="9"/>
    </row>
    <row r="14">
      <c r="B14" s="42"/>
      <c r="C14" s="82" t="b">
        <v>0</v>
      </c>
      <c r="D14" s="82" t="b">
        <v>0</v>
      </c>
      <c r="E14" s="82" t="b">
        <v>0</v>
      </c>
      <c r="F14" s="82" t="b">
        <v>0</v>
      </c>
      <c r="G14" s="82" t="b">
        <v>0</v>
      </c>
      <c r="H14" s="82" t="b">
        <v>0</v>
      </c>
      <c r="I14" s="82" t="b">
        <v>0</v>
      </c>
      <c r="J14" s="44" t="b">
        <v>0</v>
      </c>
      <c r="K14" s="44" t="b">
        <v>0</v>
      </c>
      <c r="L14" s="44" t="b">
        <v>0</v>
      </c>
      <c r="M14" s="44" t="b">
        <v>0</v>
      </c>
      <c r="N14" s="44" t="b">
        <v>0</v>
      </c>
      <c r="O14" s="44" t="b">
        <v>0</v>
      </c>
      <c r="P14" s="44" t="b">
        <v>0</v>
      </c>
      <c r="Q14" s="82" t="b">
        <v>0</v>
      </c>
      <c r="R14" s="82" t="b">
        <v>0</v>
      </c>
      <c r="S14" s="82" t="b">
        <v>0</v>
      </c>
      <c r="T14" s="82" t="b">
        <v>0</v>
      </c>
      <c r="U14" s="82" t="b">
        <v>0</v>
      </c>
      <c r="V14" s="82" t="b">
        <v>0</v>
      </c>
      <c r="W14" s="82" t="b">
        <v>0</v>
      </c>
      <c r="X14" s="44" t="b">
        <v>0</v>
      </c>
      <c r="Y14" s="44" t="b">
        <v>0</v>
      </c>
      <c r="Z14" s="44" t="b">
        <v>0</v>
      </c>
      <c r="AA14" s="44" t="b">
        <v>0</v>
      </c>
      <c r="AB14" s="44" t="b">
        <v>0</v>
      </c>
      <c r="AC14" s="44" t="b">
        <v>0</v>
      </c>
      <c r="AD14" s="44" t="b">
        <v>0</v>
      </c>
      <c r="AE14" s="43" t="b">
        <v>0</v>
      </c>
      <c r="AF14" s="43" t="b">
        <v>0</v>
      </c>
      <c r="AG14" s="43" t="b">
        <v>0</v>
      </c>
      <c r="AH14" s="9"/>
      <c r="AI14" s="45">
        <f t="shared" si="1"/>
        <v>31</v>
      </c>
      <c r="AJ14" s="46">
        <f t="shared" si="2"/>
        <v>0</v>
      </c>
      <c r="AK14" s="29" t="str">
        <f>IFERROR(__xludf.DUMMYFUNCTION("SPARKLINE(AJ14/AI14, {""charttype"",""bar"";""max"",1;""color1"",""#90EE90""})"),"")</f>
        <v/>
      </c>
      <c r="AL14" s="26"/>
      <c r="AM14" s="27"/>
      <c r="AN14" s="9"/>
    </row>
    <row r="15">
      <c r="B15" s="42"/>
      <c r="C15" s="82" t="b">
        <v>0</v>
      </c>
      <c r="D15" s="82" t="b">
        <v>0</v>
      </c>
      <c r="E15" s="82" t="b">
        <v>0</v>
      </c>
      <c r="F15" s="82" t="b">
        <v>0</v>
      </c>
      <c r="G15" s="82" t="b">
        <v>0</v>
      </c>
      <c r="H15" s="82" t="b">
        <v>0</v>
      </c>
      <c r="I15" s="82" t="b">
        <v>0</v>
      </c>
      <c r="J15" s="44" t="b">
        <v>0</v>
      </c>
      <c r="K15" s="44" t="b">
        <v>0</v>
      </c>
      <c r="L15" s="44" t="b">
        <v>0</v>
      </c>
      <c r="M15" s="44" t="b">
        <v>0</v>
      </c>
      <c r="N15" s="44" t="b">
        <v>0</v>
      </c>
      <c r="O15" s="44" t="b">
        <v>0</v>
      </c>
      <c r="P15" s="44" t="b">
        <v>0</v>
      </c>
      <c r="Q15" s="82" t="b">
        <v>0</v>
      </c>
      <c r="R15" s="82" t="b">
        <v>0</v>
      </c>
      <c r="S15" s="82" t="b">
        <v>0</v>
      </c>
      <c r="T15" s="82" t="b">
        <v>0</v>
      </c>
      <c r="U15" s="82" t="b">
        <v>0</v>
      </c>
      <c r="V15" s="82" t="b">
        <v>0</v>
      </c>
      <c r="W15" s="82" t="b">
        <v>0</v>
      </c>
      <c r="X15" s="44" t="b">
        <v>0</v>
      </c>
      <c r="Y15" s="44" t="b">
        <v>0</v>
      </c>
      <c r="Z15" s="44" t="b">
        <v>0</v>
      </c>
      <c r="AA15" s="44" t="b">
        <v>0</v>
      </c>
      <c r="AB15" s="44" t="b">
        <v>0</v>
      </c>
      <c r="AC15" s="44" t="b">
        <v>0</v>
      </c>
      <c r="AD15" s="44" t="b">
        <v>0</v>
      </c>
      <c r="AE15" s="43" t="b">
        <v>0</v>
      </c>
      <c r="AF15" s="43" t="b">
        <v>0</v>
      </c>
      <c r="AG15" s="43" t="b">
        <v>0</v>
      </c>
      <c r="AH15" s="9"/>
      <c r="AI15" s="45">
        <f t="shared" si="1"/>
        <v>31</v>
      </c>
      <c r="AJ15" s="46">
        <f t="shared" si="2"/>
        <v>0</v>
      </c>
      <c r="AK15" s="29" t="str">
        <f>IFERROR(__xludf.DUMMYFUNCTION("SPARKLINE(AJ15/AI15, {""charttype"",""bar"";""max"",1;""color1"",""#90EE90""})"),"")</f>
        <v/>
      </c>
      <c r="AL15" s="26"/>
      <c r="AM15" s="27"/>
      <c r="AN15" s="9"/>
    </row>
    <row r="16">
      <c r="B16" s="42"/>
      <c r="C16" s="82" t="b">
        <v>0</v>
      </c>
      <c r="D16" s="82" t="b">
        <v>0</v>
      </c>
      <c r="E16" s="82" t="b">
        <v>0</v>
      </c>
      <c r="F16" s="82" t="b">
        <v>0</v>
      </c>
      <c r="G16" s="82" t="b">
        <v>0</v>
      </c>
      <c r="H16" s="82" t="b">
        <v>0</v>
      </c>
      <c r="I16" s="82" t="b">
        <v>0</v>
      </c>
      <c r="J16" s="44" t="b">
        <v>0</v>
      </c>
      <c r="K16" s="44" t="b">
        <v>0</v>
      </c>
      <c r="L16" s="44" t="b">
        <v>0</v>
      </c>
      <c r="M16" s="44" t="b">
        <v>0</v>
      </c>
      <c r="N16" s="44" t="b">
        <v>0</v>
      </c>
      <c r="O16" s="44" t="b">
        <v>0</v>
      </c>
      <c r="P16" s="44" t="b">
        <v>0</v>
      </c>
      <c r="Q16" s="82" t="b">
        <v>0</v>
      </c>
      <c r="R16" s="82" t="b">
        <v>0</v>
      </c>
      <c r="S16" s="82" t="b">
        <v>0</v>
      </c>
      <c r="T16" s="82" t="b">
        <v>0</v>
      </c>
      <c r="U16" s="82" t="b">
        <v>0</v>
      </c>
      <c r="V16" s="82" t="b">
        <v>0</v>
      </c>
      <c r="W16" s="82" t="b">
        <v>0</v>
      </c>
      <c r="X16" s="44" t="b">
        <v>0</v>
      </c>
      <c r="Y16" s="44" t="b">
        <v>0</v>
      </c>
      <c r="Z16" s="44" t="b">
        <v>0</v>
      </c>
      <c r="AA16" s="44" t="b">
        <v>0</v>
      </c>
      <c r="AB16" s="44" t="b">
        <v>0</v>
      </c>
      <c r="AC16" s="44" t="b">
        <v>0</v>
      </c>
      <c r="AD16" s="44" t="b">
        <v>0</v>
      </c>
      <c r="AE16" s="43" t="b">
        <v>0</v>
      </c>
      <c r="AF16" s="43" t="b">
        <v>0</v>
      </c>
      <c r="AG16" s="43" t="b">
        <v>0</v>
      </c>
      <c r="AH16" s="9"/>
      <c r="AI16" s="45">
        <f t="shared" si="1"/>
        <v>31</v>
      </c>
      <c r="AJ16" s="46">
        <f t="shared" si="2"/>
        <v>0</v>
      </c>
      <c r="AK16" s="29" t="str">
        <f>IFERROR(__xludf.DUMMYFUNCTION("SPARKLINE(AJ16/AI16, {""charttype"",""bar"";""max"",1;""color1"",""#90EE90""})"),"")</f>
        <v/>
      </c>
      <c r="AL16" s="26"/>
      <c r="AM16" s="27"/>
      <c r="AN16" s="9"/>
    </row>
    <row r="17">
      <c r="B17" s="42"/>
      <c r="C17" s="82" t="b">
        <v>0</v>
      </c>
      <c r="D17" s="82" t="b">
        <v>0</v>
      </c>
      <c r="E17" s="82" t="b">
        <v>0</v>
      </c>
      <c r="F17" s="82" t="b">
        <v>0</v>
      </c>
      <c r="G17" s="82" t="b">
        <v>0</v>
      </c>
      <c r="H17" s="82" t="b">
        <v>0</v>
      </c>
      <c r="I17" s="82" t="b">
        <v>0</v>
      </c>
      <c r="J17" s="44" t="b">
        <v>0</v>
      </c>
      <c r="K17" s="44" t="b">
        <v>0</v>
      </c>
      <c r="L17" s="44" t="b">
        <v>0</v>
      </c>
      <c r="M17" s="44" t="b">
        <v>0</v>
      </c>
      <c r="N17" s="44" t="b">
        <v>0</v>
      </c>
      <c r="O17" s="44" t="b">
        <v>0</v>
      </c>
      <c r="P17" s="44" t="b">
        <v>0</v>
      </c>
      <c r="Q17" s="82" t="b">
        <v>0</v>
      </c>
      <c r="R17" s="82" t="b">
        <v>0</v>
      </c>
      <c r="S17" s="82" t="b">
        <v>0</v>
      </c>
      <c r="T17" s="82" t="b">
        <v>0</v>
      </c>
      <c r="U17" s="82" t="b">
        <v>0</v>
      </c>
      <c r="V17" s="82" t="b">
        <v>0</v>
      </c>
      <c r="W17" s="82" t="b">
        <v>0</v>
      </c>
      <c r="X17" s="44" t="b">
        <v>0</v>
      </c>
      <c r="Y17" s="44" t="b">
        <v>0</v>
      </c>
      <c r="Z17" s="44" t="b">
        <v>0</v>
      </c>
      <c r="AA17" s="44" t="b">
        <v>0</v>
      </c>
      <c r="AB17" s="44" t="b">
        <v>0</v>
      </c>
      <c r="AC17" s="44" t="b">
        <v>0</v>
      </c>
      <c r="AD17" s="44" t="b">
        <v>0</v>
      </c>
      <c r="AE17" s="43" t="b">
        <v>0</v>
      </c>
      <c r="AF17" s="43" t="b">
        <v>0</v>
      </c>
      <c r="AG17" s="43" t="b">
        <v>0</v>
      </c>
      <c r="AH17" s="9"/>
      <c r="AI17" s="45">
        <f t="shared" si="1"/>
        <v>31</v>
      </c>
      <c r="AJ17" s="46">
        <f t="shared" si="2"/>
        <v>0</v>
      </c>
      <c r="AK17" s="29" t="str">
        <f>IFERROR(__xludf.DUMMYFUNCTION("SPARKLINE(AJ17/AI17, {""charttype"",""bar"";""max"",1;""color1"",""#90EE90""})"),"")</f>
        <v/>
      </c>
      <c r="AL17" s="26"/>
      <c r="AM17" s="27"/>
      <c r="AN17" s="9"/>
    </row>
    <row r="18">
      <c r="B18" s="42"/>
      <c r="C18" s="82" t="b">
        <v>0</v>
      </c>
      <c r="D18" s="82" t="b">
        <v>0</v>
      </c>
      <c r="E18" s="82" t="b">
        <v>0</v>
      </c>
      <c r="F18" s="82" t="b">
        <v>0</v>
      </c>
      <c r="G18" s="82" t="b">
        <v>0</v>
      </c>
      <c r="H18" s="82" t="b">
        <v>0</v>
      </c>
      <c r="I18" s="82" t="b">
        <v>0</v>
      </c>
      <c r="J18" s="44" t="b">
        <v>0</v>
      </c>
      <c r="K18" s="44" t="b">
        <v>0</v>
      </c>
      <c r="L18" s="44" t="b">
        <v>0</v>
      </c>
      <c r="M18" s="44" t="b">
        <v>0</v>
      </c>
      <c r="N18" s="44" t="b">
        <v>0</v>
      </c>
      <c r="O18" s="44" t="b">
        <v>0</v>
      </c>
      <c r="P18" s="44" t="b">
        <v>0</v>
      </c>
      <c r="Q18" s="82" t="b">
        <v>0</v>
      </c>
      <c r="R18" s="82" t="b">
        <v>0</v>
      </c>
      <c r="S18" s="82" t="b">
        <v>0</v>
      </c>
      <c r="T18" s="82" t="b">
        <v>0</v>
      </c>
      <c r="U18" s="82" t="b">
        <v>0</v>
      </c>
      <c r="V18" s="82" t="b">
        <v>0</v>
      </c>
      <c r="W18" s="82" t="b">
        <v>0</v>
      </c>
      <c r="X18" s="44" t="b">
        <v>0</v>
      </c>
      <c r="Y18" s="44" t="b">
        <v>0</v>
      </c>
      <c r="Z18" s="44" t="b">
        <v>0</v>
      </c>
      <c r="AA18" s="44" t="b">
        <v>0</v>
      </c>
      <c r="AB18" s="44" t="b">
        <v>0</v>
      </c>
      <c r="AC18" s="44" t="b">
        <v>0</v>
      </c>
      <c r="AD18" s="44" t="b">
        <v>0</v>
      </c>
      <c r="AE18" s="43" t="b">
        <v>0</v>
      </c>
      <c r="AF18" s="43" t="b">
        <v>0</v>
      </c>
      <c r="AG18" s="43" t="b">
        <v>0</v>
      </c>
      <c r="AH18" s="9"/>
      <c r="AI18" s="45">
        <f t="shared" si="1"/>
        <v>31</v>
      </c>
      <c r="AJ18" s="46">
        <f t="shared" si="2"/>
        <v>0</v>
      </c>
      <c r="AK18" s="29" t="str">
        <f>IFERROR(__xludf.DUMMYFUNCTION("SPARKLINE(AJ18/AI18, {""charttype"",""bar"";""max"",1;""color1"",""#90EE90""})"),"")</f>
        <v/>
      </c>
      <c r="AL18" s="26"/>
      <c r="AM18" s="27"/>
      <c r="AN18" s="9"/>
    </row>
    <row r="19">
      <c r="B19" s="42"/>
      <c r="C19" s="82" t="b">
        <v>0</v>
      </c>
      <c r="D19" s="82" t="b">
        <v>0</v>
      </c>
      <c r="E19" s="82" t="b">
        <v>0</v>
      </c>
      <c r="F19" s="82" t="b">
        <v>0</v>
      </c>
      <c r="G19" s="82" t="b">
        <v>0</v>
      </c>
      <c r="H19" s="82" t="b">
        <v>0</v>
      </c>
      <c r="I19" s="82" t="b">
        <v>0</v>
      </c>
      <c r="J19" s="44" t="b">
        <v>0</v>
      </c>
      <c r="K19" s="44" t="b">
        <v>0</v>
      </c>
      <c r="L19" s="44" t="b">
        <v>0</v>
      </c>
      <c r="M19" s="44" t="b">
        <v>0</v>
      </c>
      <c r="N19" s="44" t="b">
        <v>0</v>
      </c>
      <c r="O19" s="44" t="b">
        <v>0</v>
      </c>
      <c r="P19" s="44" t="b">
        <v>0</v>
      </c>
      <c r="Q19" s="82" t="b">
        <v>0</v>
      </c>
      <c r="R19" s="82" t="b">
        <v>0</v>
      </c>
      <c r="S19" s="82" t="b">
        <v>0</v>
      </c>
      <c r="T19" s="82" t="b">
        <v>0</v>
      </c>
      <c r="U19" s="82" t="b">
        <v>0</v>
      </c>
      <c r="V19" s="82" t="b">
        <v>0</v>
      </c>
      <c r="W19" s="82" t="b">
        <v>0</v>
      </c>
      <c r="X19" s="44" t="b">
        <v>0</v>
      </c>
      <c r="Y19" s="44" t="b">
        <v>0</v>
      </c>
      <c r="Z19" s="44" t="b">
        <v>0</v>
      </c>
      <c r="AA19" s="44" t="b">
        <v>0</v>
      </c>
      <c r="AB19" s="44" t="b">
        <v>0</v>
      </c>
      <c r="AC19" s="44" t="b">
        <v>0</v>
      </c>
      <c r="AD19" s="44" t="b">
        <v>0</v>
      </c>
      <c r="AE19" s="43" t="b">
        <v>0</v>
      </c>
      <c r="AF19" s="43" t="b">
        <v>0</v>
      </c>
      <c r="AG19" s="43" t="b">
        <v>0</v>
      </c>
      <c r="AH19" s="9"/>
      <c r="AI19" s="45">
        <f t="shared" si="1"/>
        <v>31</v>
      </c>
      <c r="AJ19" s="46">
        <f t="shared" si="2"/>
        <v>0</v>
      </c>
      <c r="AK19" s="29" t="str">
        <f>IFERROR(__xludf.DUMMYFUNCTION("SPARKLINE(AJ19/AI19, {""charttype"",""bar"";""max"",1;""color1"",""#90EE90""})"),"")</f>
        <v/>
      </c>
      <c r="AL19" s="26"/>
      <c r="AM19" s="27"/>
      <c r="AN19" s="9"/>
    </row>
    <row r="20">
      <c r="B20" s="47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</row>
    <row r="21">
      <c r="B21" s="40" t="s">
        <v>11</v>
      </c>
      <c r="C21" s="49">
        <f t="shared" ref="C21:AG21" si="3">COUNTIF(C10:C19, TRUE)/COUNTA(C10:C19)</f>
        <v>0</v>
      </c>
      <c r="D21" s="49">
        <f t="shared" si="3"/>
        <v>0</v>
      </c>
      <c r="E21" s="49">
        <f t="shared" si="3"/>
        <v>0</v>
      </c>
      <c r="F21" s="49">
        <f t="shared" si="3"/>
        <v>0</v>
      </c>
      <c r="G21" s="49">
        <f t="shared" si="3"/>
        <v>0</v>
      </c>
      <c r="H21" s="49">
        <f t="shared" si="3"/>
        <v>0</v>
      </c>
      <c r="I21" s="49">
        <f t="shared" si="3"/>
        <v>0</v>
      </c>
      <c r="J21" s="49">
        <f t="shared" si="3"/>
        <v>0</v>
      </c>
      <c r="K21" s="49">
        <f t="shared" si="3"/>
        <v>0</v>
      </c>
      <c r="L21" s="49">
        <f t="shared" si="3"/>
        <v>0</v>
      </c>
      <c r="M21" s="49">
        <f t="shared" si="3"/>
        <v>0</v>
      </c>
      <c r="N21" s="49">
        <f t="shared" si="3"/>
        <v>0</v>
      </c>
      <c r="O21" s="49">
        <f t="shared" si="3"/>
        <v>0</v>
      </c>
      <c r="P21" s="49">
        <f t="shared" si="3"/>
        <v>0</v>
      </c>
      <c r="Q21" s="49">
        <f t="shared" si="3"/>
        <v>0</v>
      </c>
      <c r="R21" s="49">
        <f t="shared" si="3"/>
        <v>0</v>
      </c>
      <c r="S21" s="49">
        <f t="shared" si="3"/>
        <v>0</v>
      </c>
      <c r="T21" s="49">
        <f t="shared" si="3"/>
        <v>0</v>
      </c>
      <c r="U21" s="49">
        <f t="shared" si="3"/>
        <v>0</v>
      </c>
      <c r="V21" s="49">
        <f t="shared" si="3"/>
        <v>0</v>
      </c>
      <c r="W21" s="49">
        <f t="shared" si="3"/>
        <v>0</v>
      </c>
      <c r="X21" s="49">
        <f t="shared" si="3"/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B21" s="49">
        <f t="shared" si="3"/>
        <v>0</v>
      </c>
      <c r="AC21" s="49">
        <f t="shared" si="3"/>
        <v>0</v>
      </c>
      <c r="AD21" s="49">
        <f t="shared" si="3"/>
        <v>0</v>
      </c>
      <c r="AE21" s="49">
        <f t="shared" si="3"/>
        <v>0</v>
      </c>
      <c r="AF21" s="49">
        <f t="shared" si="3"/>
        <v>0</v>
      </c>
      <c r="AG21" s="49">
        <f t="shared" si="3"/>
        <v>0</v>
      </c>
    </row>
    <row r="22">
      <c r="B22" s="40" t="s">
        <v>38</v>
      </c>
      <c r="C22" s="46">
        <f t="shared" ref="C22:AG22" si="4">COUNTIF(C10:C19, TRUE)</f>
        <v>0</v>
      </c>
      <c r="D22" s="46">
        <f t="shared" si="4"/>
        <v>0</v>
      </c>
      <c r="E22" s="46">
        <f t="shared" si="4"/>
        <v>0</v>
      </c>
      <c r="F22" s="46">
        <f t="shared" si="4"/>
        <v>0</v>
      </c>
      <c r="G22" s="46">
        <f t="shared" si="4"/>
        <v>0</v>
      </c>
      <c r="H22" s="46">
        <f t="shared" si="4"/>
        <v>0</v>
      </c>
      <c r="I22" s="46">
        <f t="shared" si="4"/>
        <v>0</v>
      </c>
      <c r="J22" s="46">
        <f t="shared" si="4"/>
        <v>0</v>
      </c>
      <c r="K22" s="46">
        <f t="shared" si="4"/>
        <v>0</v>
      </c>
      <c r="L22" s="46">
        <f t="shared" si="4"/>
        <v>0</v>
      </c>
      <c r="M22" s="46">
        <f t="shared" si="4"/>
        <v>0</v>
      </c>
      <c r="N22" s="46">
        <f t="shared" si="4"/>
        <v>0</v>
      </c>
      <c r="O22" s="46">
        <f t="shared" si="4"/>
        <v>0</v>
      </c>
      <c r="P22" s="46">
        <f t="shared" si="4"/>
        <v>0</v>
      </c>
      <c r="Q22" s="46">
        <f t="shared" si="4"/>
        <v>0</v>
      </c>
      <c r="R22" s="46">
        <f t="shared" si="4"/>
        <v>0</v>
      </c>
      <c r="S22" s="46">
        <f t="shared" si="4"/>
        <v>0</v>
      </c>
      <c r="T22" s="46">
        <f t="shared" si="4"/>
        <v>0</v>
      </c>
      <c r="U22" s="46">
        <f t="shared" si="4"/>
        <v>0</v>
      </c>
      <c r="V22" s="46">
        <f t="shared" si="4"/>
        <v>0</v>
      </c>
      <c r="W22" s="46">
        <f t="shared" si="4"/>
        <v>0</v>
      </c>
      <c r="X22" s="46">
        <f t="shared" si="4"/>
        <v>0</v>
      </c>
      <c r="Y22" s="46">
        <f t="shared" si="4"/>
        <v>0</v>
      </c>
      <c r="Z22" s="46">
        <f t="shared" si="4"/>
        <v>0</v>
      </c>
      <c r="AA22" s="46">
        <f t="shared" si="4"/>
        <v>0</v>
      </c>
      <c r="AB22" s="46">
        <f t="shared" si="4"/>
        <v>0</v>
      </c>
      <c r="AC22" s="46">
        <f t="shared" si="4"/>
        <v>0</v>
      </c>
      <c r="AD22" s="46">
        <f t="shared" si="4"/>
        <v>0</v>
      </c>
      <c r="AE22" s="46">
        <f t="shared" si="4"/>
        <v>0</v>
      </c>
      <c r="AF22" s="46">
        <f t="shared" si="4"/>
        <v>0</v>
      </c>
      <c r="AG22" s="46">
        <f t="shared" si="4"/>
        <v>0</v>
      </c>
    </row>
    <row r="23">
      <c r="B23" s="40" t="s">
        <v>39</v>
      </c>
      <c r="C23" s="46">
        <f t="shared" ref="C23:AG23" si="5">COUNTIF(C10:C19, FALSE)</f>
        <v>10</v>
      </c>
      <c r="D23" s="46">
        <f t="shared" si="5"/>
        <v>10</v>
      </c>
      <c r="E23" s="46">
        <f t="shared" si="5"/>
        <v>10</v>
      </c>
      <c r="F23" s="46">
        <f t="shared" si="5"/>
        <v>10</v>
      </c>
      <c r="G23" s="46">
        <f t="shared" si="5"/>
        <v>10</v>
      </c>
      <c r="H23" s="46">
        <f t="shared" si="5"/>
        <v>10</v>
      </c>
      <c r="I23" s="46">
        <f t="shared" si="5"/>
        <v>10</v>
      </c>
      <c r="J23" s="46">
        <f t="shared" si="5"/>
        <v>10</v>
      </c>
      <c r="K23" s="46">
        <f t="shared" si="5"/>
        <v>10</v>
      </c>
      <c r="L23" s="46">
        <f t="shared" si="5"/>
        <v>10</v>
      </c>
      <c r="M23" s="46">
        <f t="shared" si="5"/>
        <v>10</v>
      </c>
      <c r="N23" s="46">
        <f t="shared" si="5"/>
        <v>10</v>
      </c>
      <c r="O23" s="46">
        <f t="shared" si="5"/>
        <v>10</v>
      </c>
      <c r="P23" s="46">
        <f t="shared" si="5"/>
        <v>10</v>
      </c>
      <c r="Q23" s="46">
        <f t="shared" si="5"/>
        <v>10</v>
      </c>
      <c r="R23" s="46">
        <f t="shared" si="5"/>
        <v>10</v>
      </c>
      <c r="S23" s="46">
        <f t="shared" si="5"/>
        <v>10</v>
      </c>
      <c r="T23" s="46">
        <f t="shared" si="5"/>
        <v>10</v>
      </c>
      <c r="U23" s="46">
        <f t="shared" si="5"/>
        <v>10</v>
      </c>
      <c r="V23" s="46">
        <f t="shared" si="5"/>
        <v>10</v>
      </c>
      <c r="W23" s="46">
        <f t="shared" si="5"/>
        <v>10</v>
      </c>
      <c r="X23" s="46">
        <f t="shared" si="5"/>
        <v>10</v>
      </c>
      <c r="Y23" s="46">
        <f t="shared" si="5"/>
        <v>10</v>
      </c>
      <c r="Z23" s="46">
        <f t="shared" si="5"/>
        <v>10</v>
      </c>
      <c r="AA23" s="46">
        <f t="shared" si="5"/>
        <v>10</v>
      </c>
      <c r="AB23" s="46">
        <f t="shared" si="5"/>
        <v>10</v>
      </c>
      <c r="AC23" s="46">
        <f t="shared" si="5"/>
        <v>10</v>
      </c>
      <c r="AD23" s="46">
        <f t="shared" si="5"/>
        <v>10</v>
      </c>
      <c r="AE23" s="46">
        <f t="shared" si="5"/>
        <v>10</v>
      </c>
      <c r="AF23" s="46">
        <f t="shared" si="5"/>
        <v>10</v>
      </c>
      <c r="AG23" s="46">
        <f t="shared" si="5"/>
        <v>10</v>
      </c>
    </row>
    <row r="33">
      <c r="B33" s="50"/>
      <c r="C33" s="41" t="s">
        <v>40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</row>
    <row r="34">
      <c r="B34" s="40" t="s">
        <v>41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1"/>
    </row>
    <row r="35">
      <c r="B35" s="40" t="s">
        <v>42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1"/>
    </row>
    <row r="36">
      <c r="C36" s="53">
        <f t="shared" ref="C36:AG36" si="6">(C35+C34)/20</f>
        <v>0</v>
      </c>
      <c r="D36" s="53">
        <f t="shared" si="6"/>
        <v>0</v>
      </c>
      <c r="E36" s="53">
        <f t="shared" si="6"/>
        <v>0</v>
      </c>
      <c r="F36" s="53">
        <f t="shared" si="6"/>
        <v>0</v>
      </c>
      <c r="G36" s="53">
        <f t="shared" si="6"/>
        <v>0</v>
      </c>
      <c r="H36" s="53">
        <f t="shared" si="6"/>
        <v>0</v>
      </c>
      <c r="I36" s="53">
        <f t="shared" si="6"/>
        <v>0</v>
      </c>
      <c r="J36" s="53">
        <f t="shared" si="6"/>
        <v>0</v>
      </c>
      <c r="K36" s="53">
        <f t="shared" si="6"/>
        <v>0</v>
      </c>
      <c r="L36" s="53">
        <f t="shared" si="6"/>
        <v>0</v>
      </c>
      <c r="M36" s="53">
        <f t="shared" si="6"/>
        <v>0</v>
      </c>
      <c r="N36" s="53">
        <f t="shared" si="6"/>
        <v>0</v>
      </c>
      <c r="O36" s="53">
        <f t="shared" si="6"/>
        <v>0</v>
      </c>
      <c r="P36" s="53">
        <f t="shared" si="6"/>
        <v>0</v>
      </c>
      <c r="Q36" s="53">
        <f t="shared" si="6"/>
        <v>0</v>
      </c>
      <c r="R36" s="53">
        <f t="shared" si="6"/>
        <v>0</v>
      </c>
      <c r="S36" s="53">
        <f t="shared" si="6"/>
        <v>0</v>
      </c>
      <c r="T36" s="53">
        <f t="shared" si="6"/>
        <v>0</v>
      </c>
      <c r="U36" s="53">
        <f t="shared" si="6"/>
        <v>0</v>
      </c>
      <c r="V36" s="53">
        <f t="shared" si="6"/>
        <v>0</v>
      </c>
      <c r="W36" s="53">
        <f t="shared" si="6"/>
        <v>0</v>
      </c>
      <c r="X36" s="53">
        <f t="shared" si="6"/>
        <v>0</v>
      </c>
      <c r="Y36" s="53">
        <f t="shared" si="6"/>
        <v>0</v>
      </c>
      <c r="Z36" s="53">
        <f t="shared" si="6"/>
        <v>0</v>
      </c>
      <c r="AA36" s="53">
        <f t="shared" si="6"/>
        <v>0</v>
      </c>
      <c r="AB36" s="53">
        <f t="shared" si="6"/>
        <v>0</v>
      </c>
      <c r="AC36" s="53">
        <f t="shared" si="6"/>
        <v>0</v>
      </c>
      <c r="AD36" s="53">
        <f t="shared" si="6"/>
        <v>0</v>
      </c>
      <c r="AE36" s="53">
        <f t="shared" si="6"/>
        <v>0</v>
      </c>
      <c r="AF36" s="53">
        <f t="shared" si="6"/>
        <v>0</v>
      </c>
      <c r="AG36" s="53">
        <f t="shared" si="6"/>
        <v>0</v>
      </c>
    </row>
  </sheetData>
  <mergeCells count="28">
    <mergeCell ref="AB3:AD3"/>
    <mergeCell ref="AB4:AD4"/>
    <mergeCell ref="B3:H4"/>
    <mergeCell ref="J3:N3"/>
    <mergeCell ref="P3:T3"/>
    <mergeCell ref="V3:Z3"/>
    <mergeCell ref="J4:N4"/>
    <mergeCell ref="P4:T4"/>
    <mergeCell ref="V4:Z4"/>
    <mergeCell ref="B7:B9"/>
    <mergeCell ref="C7:I7"/>
    <mergeCell ref="J7:P7"/>
    <mergeCell ref="Q7:W7"/>
    <mergeCell ref="X7:AD7"/>
    <mergeCell ref="AE7:AF7"/>
    <mergeCell ref="AI7:AM8"/>
    <mergeCell ref="AK16:AM16"/>
    <mergeCell ref="AK17:AM17"/>
    <mergeCell ref="AK18:AM18"/>
    <mergeCell ref="AK19:AM19"/>
    <mergeCell ref="C33:AG33"/>
    <mergeCell ref="AK9:AM9"/>
    <mergeCell ref="AK10:AM10"/>
    <mergeCell ref="AK11:AM11"/>
    <mergeCell ref="AK12:AM12"/>
    <mergeCell ref="AK13:AM13"/>
    <mergeCell ref="AK14:AM14"/>
    <mergeCell ref="AK15:AM15"/>
  </mergeCells>
  <dataValidations>
    <dataValidation type="list" allowBlank="1" showErrorMessage="1" sqref="C34:AG35">
      <formula1>"10,9,8,7,6,5,4,3,2,1,0"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23.25"/>
    <col customWidth="1" min="3" max="34" width="4.13"/>
    <col customWidth="1" min="35" max="35" width="10.0"/>
    <col customWidth="1" min="36" max="36" width="8.0"/>
    <col customWidth="1" min="37" max="40" width="4.13"/>
  </cols>
  <sheetData>
    <row r="2">
      <c r="B2" s="64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6"/>
      <c r="AN2" s="9"/>
    </row>
    <row r="3">
      <c r="B3" s="10" t="s">
        <v>65</v>
      </c>
      <c r="I3" s="67"/>
      <c r="J3" s="68" t="s">
        <v>70</v>
      </c>
      <c r="O3" s="69"/>
      <c r="P3" s="68" t="s">
        <v>10</v>
      </c>
      <c r="U3" s="69"/>
      <c r="V3" s="68" t="s">
        <v>11</v>
      </c>
      <c r="AA3" s="69"/>
      <c r="AB3" s="68" t="s">
        <v>12</v>
      </c>
      <c r="AE3" s="12"/>
      <c r="AF3" s="12"/>
      <c r="AG3" s="12"/>
      <c r="AH3" s="70"/>
      <c r="AI3" s="71"/>
      <c r="AJ3" s="71"/>
      <c r="AK3" s="71"/>
      <c r="AL3" s="71"/>
      <c r="AM3" s="72"/>
      <c r="AN3" s="9"/>
    </row>
    <row r="4">
      <c r="B4" s="17"/>
      <c r="I4" s="67"/>
      <c r="J4" s="71">
        <f>COUNTA($B$10:$B$19)</f>
        <v>0</v>
      </c>
      <c r="O4" s="70"/>
      <c r="P4" s="71">
        <f>COUNTIF($C$10:$AF$19, TRUE)</f>
        <v>0</v>
      </c>
      <c r="U4" s="70"/>
      <c r="V4" s="73" t="str">
        <f>IFERROR(__xludf.DUMMYFUNCTION("SPARKLINE(AB4, {""charttype"",""bar"";""max"",1;""color1"",""#90EE90""})"),"")</f>
        <v/>
      </c>
      <c r="AA4" s="70"/>
      <c r="AB4" s="74">
        <f>(P4)/(COUNTA($C$10:$C$19)*COUNTA($C$10:$AG$10))</f>
        <v>0</v>
      </c>
      <c r="AE4" s="74"/>
      <c r="AF4" s="74"/>
      <c r="AG4" s="74"/>
      <c r="AH4" s="70"/>
      <c r="AI4" s="71"/>
      <c r="AJ4" s="71"/>
      <c r="AK4" s="71"/>
      <c r="AL4" s="71"/>
      <c r="AM4" s="72"/>
      <c r="AN4" s="9"/>
    </row>
    <row r="5">
      <c r="B5" s="75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7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8"/>
      <c r="AN5" s="9"/>
    </row>
    <row r="6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>
      <c r="B7" s="24" t="s">
        <v>13</v>
      </c>
      <c r="C7" s="25" t="s">
        <v>14</v>
      </c>
      <c r="D7" s="26"/>
      <c r="E7" s="26"/>
      <c r="F7" s="26"/>
      <c r="G7" s="26"/>
      <c r="H7" s="26"/>
      <c r="I7" s="27"/>
      <c r="J7" s="28" t="s">
        <v>15</v>
      </c>
      <c r="K7" s="26"/>
      <c r="L7" s="26"/>
      <c r="M7" s="26"/>
      <c r="N7" s="26"/>
      <c r="O7" s="26"/>
      <c r="P7" s="27"/>
      <c r="Q7" s="25" t="s">
        <v>16</v>
      </c>
      <c r="R7" s="26"/>
      <c r="S7" s="26"/>
      <c r="T7" s="26"/>
      <c r="U7" s="26"/>
      <c r="V7" s="26"/>
      <c r="W7" s="27"/>
      <c r="X7" s="28" t="s">
        <v>17</v>
      </c>
      <c r="Y7" s="26"/>
      <c r="Z7" s="26"/>
      <c r="AA7" s="26"/>
      <c r="AB7" s="26"/>
      <c r="AC7" s="26"/>
      <c r="AD7" s="27"/>
      <c r="AE7" s="29"/>
      <c r="AF7" s="27"/>
      <c r="AG7" s="79"/>
      <c r="AH7" s="9"/>
      <c r="AI7" s="30" t="s">
        <v>18</v>
      </c>
      <c r="AJ7" s="31"/>
      <c r="AK7" s="31"/>
      <c r="AL7" s="31"/>
      <c r="AM7" s="32"/>
    </row>
    <row r="8">
      <c r="B8" s="33"/>
      <c r="C8" s="34" t="s">
        <v>19</v>
      </c>
      <c r="D8" s="34" t="s">
        <v>20</v>
      </c>
      <c r="E8" s="34" t="s">
        <v>21</v>
      </c>
      <c r="F8" s="34" t="s">
        <v>22</v>
      </c>
      <c r="G8" s="34" t="s">
        <v>23</v>
      </c>
      <c r="H8" s="34" t="s">
        <v>24</v>
      </c>
      <c r="I8" s="34" t="s">
        <v>25</v>
      </c>
      <c r="J8" s="35" t="s">
        <v>19</v>
      </c>
      <c r="K8" s="35" t="s">
        <v>20</v>
      </c>
      <c r="L8" s="35" t="s">
        <v>21</v>
      </c>
      <c r="M8" s="35" t="s">
        <v>22</v>
      </c>
      <c r="N8" s="35" t="s">
        <v>23</v>
      </c>
      <c r="O8" s="35" t="s">
        <v>24</v>
      </c>
      <c r="P8" s="35" t="s">
        <v>25</v>
      </c>
      <c r="Q8" s="34" t="s">
        <v>19</v>
      </c>
      <c r="R8" s="34" t="s">
        <v>20</v>
      </c>
      <c r="S8" s="34" t="s">
        <v>21</v>
      </c>
      <c r="T8" s="34" t="s">
        <v>22</v>
      </c>
      <c r="U8" s="34" t="s">
        <v>23</v>
      </c>
      <c r="V8" s="34" t="s">
        <v>24</v>
      </c>
      <c r="W8" s="34" t="s">
        <v>25</v>
      </c>
      <c r="X8" s="35" t="s">
        <v>19</v>
      </c>
      <c r="Y8" s="35" t="s">
        <v>20</v>
      </c>
      <c r="Z8" s="35" t="s">
        <v>21</v>
      </c>
      <c r="AA8" s="35" t="s">
        <v>22</v>
      </c>
      <c r="AB8" s="35" t="s">
        <v>23</v>
      </c>
      <c r="AC8" s="35" t="s">
        <v>24</v>
      </c>
      <c r="AD8" s="35" t="s">
        <v>25</v>
      </c>
      <c r="AE8" s="80" t="s">
        <v>19</v>
      </c>
      <c r="AF8" s="80" t="s">
        <v>20</v>
      </c>
      <c r="AG8" s="34" t="s">
        <v>21</v>
      </c>
      <c r="AH8" s="9"/>
      <c r="AI8" s="36"/>
      <c r="AJ8" s="37"/>
      <c r="AK8" s="37"/>
      <c r="AL8" s="37"/>
      <c r="AM8" s="38"/>
    </row>
    <row r="9">
      <c r="B9" s="39"/>
      <c r="C9" s="34">
        <v>1.0</v>
      </c>
      <c r="D9" s="34">
        <v>2.0</v>
      </c>
      <c r="E9" s="34">
        <v>3.0</v>
      </c>
      <c r="F9" s="34">
        <v>4.0</v>
      </c>
      <c r="G9" s="34">
        <v>5.0</v>
      </c>
      <c r="H9" s="34">
        <v>6.0</v>
      </c>
      <c r="I9" s="34">
        <v>7.0</v>
      </c>
      <c r="J9" s="35">
        <v>8.0</v>
      </c>
      <c r="K9" s="35">
        <v>9.0</v>
      </c>
      <c r="L9" s="35">
        <v>10.0</v>
      </c>
      <c r="M9" s="35">
        <v>11.0</v>
      </c>
      <c r="N9" s="35">
        <v>12.0</v>
      </c>
      <c r="O9" s="35">
        <v>13.0</v>
      </c>
      <c r="P9" s="35">
        <v>14.0</v>
      </c>
      <c r="Q9" s="34">
        <v>15.0</v>
      </c>
      <c r="R9" s="34">
        <v>16.0</v>
      </c>
      <c r="S9" s="34">
        <v>17.0</v>
      </c>
      <c r="T9" s="34">
        <v>18.0</v>
      </c>
      <c r="U9" s="34">
        <v>19.0</v>
      </c>
      <c r="V9" s="34">
        <v>20.0</v>
      </c>
      <c r="W9" s="34">
        <v>21.0</v>
      </c>
      <c r="X9" s="35">
        <v>22.0</v>
      </c>
      <c r="Y9" s="35">
        <v>23.0</v>
      </c>
      <c r="Z9" s="35">
        <v>24.0</v>
      </c>
      <c r="AA9" s="35">
        <v>25.0</v>
      </c>
      <c r="AB9" s="35">
        <v>26.0</v>
      </c>
      <c r="AC9" s="35">
        <v>27.0</v>
      </c>
      <c r="AD9" s="35">
        <v>28.0</v>
      </c>
      <c r="AE9" s="34">
        <v>29.0</v>
      </c>
      <c r="AF9" s="25">
        <v>30.0</v>
      </c>
      <c r="AG9" s="81">
        <v>31.0</v>
      </c>
      <c r="AH9" s="9"/>
      <c r="AI9" s="40" t="s">
        <v>26</v>
      </c>
      <c r="AJ9" s="40" t="s">
        <v>27</v>
      </c>
      <c r="AK9" s="41" t="s">
        <v>11</v>
      </c>
      <c r="AL9" s="26"/>
      <c r="AM9" s="27"/>
    </row>
    <row r="10">
      <c r="B10" s="42"/>
      <c r="C10" s="82" t="b">
        <v>0</v>
      </c>
      <c r="D10" s="82" t="b">
        <v>0</v>
      </c>
      <c r="E10" s="82" t="b">
        <v>0</v>
      </c>
      <c r="F10" s="82" t="b">
        <v>0</v>
      </c>
      <c r="G10" s="82" t="b">
        <v>0</v>
      </c>
      <c r="H10" s="82" t="b">
        <v>0</v>
      </c>
      <c r="I10" s="82" t="b">
        <v>0</v>
      </c>
      <c r="J10" s="44" t="b">
        <v>0</v>
      </c>
      <c r="K10" s="44" t="b">
        <v>0</v>
      </c>
      <c r="L10" s="44" t="b">
        <v>0</v>
      </c>
      <c r="M10" s="44" t="b">
        <v>0</v>
      </c>
      <c r="N10" s="44" t="b">
        <v>0</v>
      </c>
      <c r="O10" s="44" t="b">
        <v>0</v>
      </c>
      <c r="P10" s="44" t="b">
        <v>0</v>
      </c>
      <c r="Q10" s="82" t="b">
        <v>0</v>
      </c>
      <c r="R10" s="82" t="b">
        <v>0</v>
      </c>
      <c r="S10" s="82" t="b">
        <v>0</v>
      </c>
      <c r="T10" s="82" t="b">
        <v>0</v>
      </c>
      <c r="U10" s="82" t="b">
        <v>0</v>
      </c>
      <c r="V10" s="82" t="b">
        <v>0</v>
      </c>
      <c r="W10" s="82" t="b">
        <v>0</v>
      </c>
      <c r="X10" s="44" t="b">
        <v>0</v>
      </c>
      <c r="Y10" s="44" t="b">
        <v>0</v>
      </c>
      <c r="Z10" s="44" t="b">
        <v>0</v>
      </c>
      <c r="AA10" s="44" t="b">
        <v>0</v>
      </c>
      <c r="AB10" s="44" t="b">
        <v>0</v>
      </c>
      <c r="AC10" s="44" t="b">
        <v>0</v>
      </c>
      <c r="AD10" s="44" t="b">
        <v>0</v>
      </c>
      <c r="AE10" s="43" t="b">
        <v>0</v>
      </c>
      <c r="AF10" s="43" t="b">
        <v>0</v>
      </c>
      <c r="AG10" s="43" t="b">
        <v>0</v>
      </c>
      <c r="AH10" s="9"/>
      <c r="AI10" s="45">
        <f t="shared" ref="AI10:AI19" si="1">31</f>
        <v>31</v>
      </c>
      <c r="AJ10" s="46">
        <f t="shared" ref="AJ10:AJ19" si="2">COUNTIF(C10:AG10, TRUE)</f>
        <v>0</v>
      </c>
      <c r="AK10" s="29" t="str">
        <f>IFERROR(__xludf.DUMMYFUNCTION("SPARKLINE(AJ10/AI10, {""charttype"",""bar"";""max"",1;""color1"",""#90EE90""})"),"")</f>
        <v/>
      </c>
      <c r="AL10" s="26"/>
      <c r="AM10" s="27"/>
      <c r="AN10" s="9"/>
    </row>
    <row r="11">
      <c r="B11" s="42"/>
      <c r="C11" s="82" t="b">
        <v>0</v>
      </c>
      <c r="D11" s="82" t="b">
        <v>0</v>
      </c>
      <c r="E11" s="82" t="b">
        <v>0</v>
      </c>
      <c r="F11" s="82" t="b">
        <v>0</v>
      </c>
      <c r="G11" s="82" t="b">
        <v>0</v>
      </c>
      <c r="H11" s="82" t="b">
        <v>0</v>
      </c>
      <c r="I11" s="82" t="b">
        <v>0</v>
      </c>
      <c r="J11" s="44" t="b">
        <v>0</v>
      </c>
      <c r="K11" s="44" t="b">
        <v>0</v>
      </c>
      <c r="L11" s="44" t="b">
        <v>0</v>
      </c>
      <c r="M11" s="44" t="b">
        <v>0</v>
      </c>
      <c r="N11" s="44" t="b">
        <v>0</v>
      </c>
      <c r="O11" s="44" t="b">
        <v>0</v>
      </c>
      <c r="P11" s="44" t="b">
        <v>0</v>
      </c>
      <c r="Q11" s="82" t="b">
        <v>0</v>
      </c>
      <c r="R11" s="82" t="b">
        <v>0</v>
      </c>
      <c r="S11" s="82" t="b">
        <v>0</v>
      </c>
      <c r="T11" s="82" t="b">
        <v>0</v>
      </c>
      <c r="U11" s="82" t="b">
        <v>0</v>
      </c>
      <c r="V11" s="82" t="b">
        <v>0</v>
      </c>
      <c r="W11" s="82" t="b">
        <v>0</v>
      </c>
      <c r="X11" s="44" t="b">
        <v>0</v>
      </c>
      <c r="Y11" s="44" t="b">
        <v>0</v>
      </c>
      <c r="Z11" s="44" t="b">
        <v>0</v>
      </c>
      <c r="AA11" s="44" t="b">
        <v>0</v>
      </c>
      <c r="AB11" s="44" t="b">
        <v>0</v>
      </c>
      <c r="AC11" s="44" t="b">
        <v>0</v>
      </c>
      <c r="AD11" s="44" t="b">
        <v>0</v>
      </c>
      <c r="AE11" s="43" t="b">
        <v>0</v>
      </c>
      <c r="AF11" s="43" t="b">
        <v>0</v>
      </c>
      <c r="AG11" s="43" t="b">
        <v>0</v>
      </c>
      <c r="AH11" s="9"/>
      <c r="AI11" s="45">
        <f t="shared" si="1"/>
        <v>31</v>
      </c>
      <c r="AJ11" s="46">
        <f t="shared" si="2"/>
        <v>0</v>
      </c>
      <c r="AK11" s="29" t="str">
        <f>IFERROR(__xludf.DUMMYFUNCTION("SPARKLINE(AJ11/AI11, {""charttype"",""bar"";""max"",1;""color1"",""#90EE90""})"),"")</f>
        <v/>
      </c>
      <c r="AL11" s="26"/>
      <c r="AM11" s="27"/>
      <c r="AN11" s="9"/>
    </row>
    <row r="12">
      <c r="B12" s="42"/>
      <c r="C12" s="82" t="b">
        <v>0</v>
      </c>
      <c r="D12" s="82" t="b">
        <v>0</v>
      </c>
      <c r="E12" s="82" t="b">
        <v>0</v>
      </c>
      <c r="F12" s="82" t="b">
        <v>0</v>
      </c>
      <c r="G12" s="82" t="b">
        <v>0</v>
      </c>
      <c r="H12" s="82" t="b">
        <v>0</v>
      </c>
      <c r="I12" s="82" t="b">
        <v>0</v>
      </c>
      <c r="J12" s="44" t="b">
        <v>0</v>
      </c>
      <c r="K12" s="44" t="b">
        <v>0</v>
      </c>
      <c r="L12" s="44" t="b">
        <v>0</v>
      </c>
      <c r="M12" s="44" t="b">
        <v>0</v>
      </c>
      <c r="N12" s="44" t="b">
        <v>0</v>
      </c>
      <c r="O12" s="44" t="b">
        <v>0</v>
      </c>
      <c r="P12" s="44" t="b">
        <v>0</v>
      </c>
      <c r="Q12" s="82" t="b">
        <v>0</v>
      </c>
      <c r="R12" s="82" t="b">
        <v>0</v>
      </c>
      <c r="S12" s="82" t="b">
        <v>0</v>
      </c>
      <c r="T12" s="82" t="b">
        <v>0</v>
      </c>
      <c r="U12" s="82" t="b">
        <v>0</v>
      </c>
      <c r="V12" s="82" t="b">
        <v>0</v>
      </c>
      <c r="W12" s="82" t="b">
        <v>0</v>
      </c>
      <c r="X12" s="44" t="b">
        <v>0</v>
      </c>
      <c r="Y12" s="44" t="b">
        <v>0</v>
      </c>
      <c r="Z12" s="44" t="b">
        <v>0</v>
      </c>
      <c r="AA12" s="44" t="b">
        <v>0</v>
      </c>
      <c r="AB12" s="44" t="b">
        <v>0</v>
      </c>
      <c r="AC12" s="44" t="b">
        <v>0</v>
      </c>
      <c r="AD12" s="44" t="b">
        <v>0</v>
      </c>
      <c r="AE12" s="43" t="b">
        <v>0</v>
      </c>
      <c r="AF12" s="43" t="b">
        <v>0</v>
      </c>
      <c r="AG12" s="43" t="b">
        <v>0</v>
      </c>
      <c r="AH12" s="9"/>
      <c r="AI12" s="45">
        <f t="shared" si="1"/>
        <v>31</v>
      </c>
      <c r="AJ12" s="46">
        <f t="shared" si="2"/>
        <v>0</v>
      </c>
      <c r="AK12" s="29" t="str">
        <f>IFERROR(__xludf.DUMMYFUNCTION("SPARKLINE(AJ12/AI12, {""charttype"",""bar"";""max"",1;""color1"",""#90EE90""})"),"")</f>
        <v/>
      </c>
      <c r="AL12" s="26"/>
      <c r="AM12" s="27"/>
      <c r="AN12" s="9"/>
    </row>
    <row r="13">
      <c r="B13" s="42"/>
      <c r="C13" s="82" t="b">
        <v>0</v>
      </c>
      <c r="D13" s="82" t="b">
        <v>0</v>
      </c>
      <c r="E13" s="82" t="b">
        <v>0</v>
      </c>
      <c r="F13" s="82" t="b">
        <v>0</v>
      </c>
      <c r="G13" s="82" t="b">
        <v>0</v>
      </c>
      <c r="H13" s="82" t="b">
        <v>0</v>
      </c>
      <c r="I13" s="82" t="b">
        <v>0</v>
      </c>
      <c r="J13" s="44" t="b">
        <v>0</v>
      </c>
      <c r="K13" s="44" t="b">
        <v>0</v>
      </c>
      <c r="L13" s="44" t="b">
        <v>0</v>
      </c>
      <c r="M13" s="44" t="b">
        <v>0</v>
      </c>
      <c r="N13" s="44" t="b">
        <v>0</v>
      </c>
      <c r="O13" s="44" t="b">
        <v>0</v>
      </c>
      <c r="P13" s="44" t="b">
        <v>0</v>
      </c>
      <c r="Q13" s="82" t="b">
        <v>0</v>
      </c>
      <c r="R13" s="82" t="b">
        <v>0</v>
      </c>
      <c r="S13" s="82" t="b">
        <v>0</v>
      </c>
      <c r="T13" s="82" t="b">
        <v>0</v>
      </c>
      <c r="U13" s="82" t="b">
        <v>0</v>
      </c>
      <c r="V13" s="82" t="b">
        <v>0</v>
      </c>
      <c r="W13" s="82" t="b">
        <v>0</v>
      </c>
      <c r="X13" s="44" t="b">
        <v>0</v>
      </c>
      <c r="Y13" s="44" t="b">
        <v>0</v>
      </c>
      <c r="Z13" s="44" t="b">
        <v>0</v>
      </c>
      <c r="AA13" s="44" t="b">
        <v>0</v>
      </c>
      <c r="AB13" s="44" t="b">
        <v>0</v>
      </c>
      <c r="AC13" s="44" t="b">
        <v>0</v>
      </c>
      <c r="AD13" s="44" t="b">
        <v>0</v>
      </c>
      <c r="AE13" s="43" t="b">
        <v>0</v>
      </c>
      <c r="AF13" s="43" t="b">
        <v>0</v>
      </c>
      <c r="AG13" s="43" t="b">
        <v>0</v>
      </c>
      <c r="AH13" s="9"/>
      <c r="AI13" s="45">
        <f t="shared" si="1"/>
        <v>31</v>
      </c>
      <c r="AJ13" s="46">
        <f t="shared" si="2"/>
        <v>0</v>
      </c>
      <c r="AK13" s="29" t="str">
        <f>IFERROR(__xludf.DUMMYFUNCTION("SPARKLINE(AJ13/AI13, {""charttype"",""bar"";""max"",1;""color1"",""#90EE90""})"),"")</f>
        <v/>
      </c>
      <c r="AL13" s="26"/>
      <c r="AM13" s="27"/>
      <c r="AN13" s="9"/>
    </row>
    <row r="14">
      <c r="B14" s="42"/>
      <c r="C14" s="82" t="b">
        <v>0</v>
      </c>
      <c r="D14" s="82" t="b">
        <v>0</v>
      </c>
      <c r="E14" s="82" t="b">
        <v>0</v>
      </c>
      <c r="F14" s="82" t="b">
        <v>0</v>
      </c>
      <c r="G14" s="82" t="b">
        <v>0</v>
      </c>
      <c r="H14" s="82" t="b">
        <v>0</v>
      </c>
      <c r="I14" s="82" t="b">
        <v>0</v>
      </c>
      <c r="J14" s="44" t="b">
        <v>0</v>
      </c>
      <c r="K14" s="44" t="b">
        <v>0</v>
      </c>
      <c r="L14" s="44" t="b">
        <v>0</v>
      </c>
      <c r="M14" s="44" t="b">
        <v>0</v>
      </c>
      <c r="N14" s="44" t="b">
        <v>0</v>
      </c>
      <c r="O14" s="44" t="b">
        <v>0</v>
      </c>
      <c r="P14" s="44" t="b">
        <v>0</v>
      </c>
      <c r="Q14" s="82" t="b">
        <v>0</v>
      </c>
      <c r="R14" s="82" t="b">
        <v>0</v>
      </c>
      <c r="S14" s="82" t="b">
        <v>0</v>
      </c>
      <c r="T14" s="82" t="b">
        <v>0</v>
      </c>
      <c r="U14" s="82" t="b">
        <v>0</v>
      </c>
      <c r="V14" s="82" t="b">
        <v>0</v>
      </c>
      <c r="W14" s="82" t="b">
        <v>0</v>
      </c>
      <c r="X14" s="44" t="b">
        <v>0</v>
      </c>
      <c r="Y14" s="44" t="b">
        <v>0</v>
      </c>
      <c r="Z14" s="44" t="b">
        <v>0</v>
      </c>
      <c r="AA14" s="44" t="b">
        <v>0</v>
      </c>
      <c r="AB14" s="44" t="b">
        <v>0</v>
      </c>
      <c r="AC14" s="44" t="b">
        <v>0</v>
      </c>
      <c r="AD14" s="44" t="b">
        <v>0</v>
      </c>
      <c r="AE14" s="43" t="b">
        <v>0</v>
      </c>
      <c r="AF14" s="43" t="b">
        <v>0</v>
      </c>
      <c r="AG14" s="43" t="b">
        <v>0</v>
      </c>
      <c r="AH14" s="9"/>
      <c r="AI14" s="45">
        <f t="shared" si="1"/>
        <v>31</v>
      </c>
      <c r="AJ14" s="46">
        <f t="shared" si="2"/>
        <v>0</v>
      </c>
      <c r="AK14" s="29" t="str">
        <f>IFERROR(__xludf.DUMMYFUNCTION("SPARKLINE(AJ14/AI14, {""charttype"",""bar"";""max"",1;""color1"",""#90EE90""})"),"")</f>
        <v/>
      </c>
      <c r="AL14" s="26"/>
      <c r="AM14" s="27"/>
      <c r="AN14" s="9"/>
    </row>
    <row r="15">
      <c r="B15" s="42"/>
      <c r="C15" s="82" t="b">
        <v>0</v>
      </c>
      <c r="D15" s="82" t="b">
        <v>0</v>
      </c>
      <c r="E15" s="82" t="b">
        <v>0</v>
      </c>
      <c r="F15" s="82" t="b">
        <v>0</v>
      </c>
      <c r="G15" s="82" t="b">
        <v>0</v>
      </c>
      <c r="H15" s="82" t="b">
        <v>0</v>
      </c>
      <c r="I15" s="82" t="b">
        <v>0</v>
      </c>
      <c r="J15" s="44" t="b">
        <v>0</v>
      </c>
      <c r="K15" s="44" t="b">
        <v>0</v>
      </c>
      <c r="L15" s="44" t="b">
        <v>0</v>
      </c>
      <c r="M15" s="44" t="b">
        <v>0</v>
      </c>
      <c r="N15" s="44" t="b">
        <v>0</v>
      </c>
      <c r="O15" s="44" t="b">
        <v>0</v>
      </c>
      <c r="P15" s="44" t="b">
        <v>0</v>
      </c>
      <c r="Q15" s="82" t="b">
        <v>0</v>
      </c>
      <c r="R15" s="82" t="b">
        <v>0</v>
      </c>
      <c r="S15" s="82" t="b">
        <v>0</v>
      </c>
      <c r="T15" s="82" t="b">
        <v>0</v>
      </c>
      <c r="U15" s="82" t="b">
        <v>0</v>
      </c>
      <c r="V15" s="82" t="b">
        <v>0</v>
      </c>
      <c r="W15" s="82" t="b">
        <v>0</v>
      </c>
      <c r="X15" s="44" t="b">
        <v>0</v>
      </c>
      <c r="Y15" s="44" t="b">
        <v>0</v>
      </c>
      <c r="Z15" s="44" t="b">
        <v>0</v>
      </c>
      <c r="AA15" s="44" t="b">
        <v>0</v>
      </c>
      <c r="AB15" s="44" t="b">
        <v>0</v>
      </c>
      <c r="AC15" s="44" t="b">
        <v>0</v>
      </c>
      <c r="AD15" s="44" t="b">
        <v>0</v>
      </c>
      <c r="AE15" s="43" t="b">
        <v>0</v>
      </c>
      <c r="AF15" s="43" t="b">
        <v>0</v>
      </c>
      <c r="AG15" s="43" t="b">
        <v>0</v>
      </c>
      <c r="AH15" s="9"/>
      <c r="AI15" s="45">
        <f t="shared" si="1"/>
        <v>31</v>
      </c>
      <c r="AJ15" s="46">
        <f t="shared" si="2"/>
        <v>0</v>
      </c>
      <c r="AK15" s="29" t="str">
        <f>IFERROR(__xludf.DUMMYFUNCTION("SPARKLINE(AJ15/AI15, {""charttype"",""bar"";""max"",1;""color1"",""#90EE90""})"),"")</f>
        <v/>
      </c>
      <c r="AL15" s="26"/>
      <c r="AM15" s="27"/>
      <c r="AN15" s="9"/>
    </row>
    <row r="16">
      <c r="B16" s="42"/>
      <c r="C16" s="82" t="b">
        <v>0</v>
      </c>
      <c r="D16" s="82" t="b">
        <v>0</v>
      </c>
      <c r="E16" s="82" t="b">
        <v>0</v>
      </c>
      <c r="F16" s="82" t="b">
        <v>0</v>
      </c>
      <c r="G16" s="82" t="b">
        <v>0</v>
      </c>
      <c r="H16" s="82" t="b">
        <v>0</v>
      </c>
      <c r="I16" s="82" t="b">
        <v>0</v>
      </c>
      <c r="J16" s="44" t="b">
        <v>0</v>
      </c>
      <c r="K16" s="44" t="b">
        <v>0</v>
      </c>
      <c r="L16" s="44" t="b">
        <v>0</v>
      </c>
      <c r="M16" s="44" t="b">
        <v>0</v>
      </c>
      <c r="N16" s="44" t="b">
        <v>0</v>
      </c>
      <c r="O16" s="44" t="b">
        <v>0</v>
      </c>
      <c r="P16" s="44" t="b">
        <v>0</v>
      </c>
      <c r="Q16" s="82" t="b">
        <v>0</v>
      </c>
      <c r="R16" s="82" t="b">
        <v>0</v>
      </c>
      <c r="S16" s="82" t="b">
        <v>0</v>
      </c>
      <c r="T16" s="82" t="b">
        <v>0</v>
      </c>
      <c r="U16" s="82" t="b">
        <v>0</v>
      </c>
      <c r="V16" s="82" t="b">
        <v>0</v>
      </c>
      <c r="W16" s="82" t="b">
        <v>0</v>
      </c>
      <c r="X16" s="44" t="b">
        <v>0</v>
      </c>
      <c r="Y16" s="44" t="b">
        <v>0</v>
      </c>
      <c r="Z16" s="44" t="b">
        <v>0</v>
      </c>
      <c r="AA16" s="44" t="b">
        <v>0</v>
      </c>
      <c r="AB16" s="44" t="b">
        <v>0</v>
      </c>
      <c r="AC16" s="44" t="b">
        <v>0</v>
      </c>
      <c r="AD16" s="44" t="b">
        <v>0</v>
      </c>
      <c r="AE16" s="43" t="b">
        <v>0</v>
      </c>
      <c r="AF16" s="43" t="b">
        <v>0</v>
      </c>
      <c r="AG16" s="43" t="b">
        <v>0</v>
      </c>
      <c r="AH16" s="9"/>
      <c r="AI16" s="45">
        <f t="shared" si="1"/>
        <v>31</v>
      </c>
      <c r="AJ16" s="46">
        <f t="shared" si="2"/>
        <v>0</v>
      </c>
      <c r="AK16" s="29" t="str">
        <f>IFERROR(__xludf.DUMMYFUNCTION("SPARKLINE(AJ16/AI16, {""charttype"",""bar"";""max"",1;""color1"",""#90EE90""})"),"")</f>
        <v/>
      </c>
      <c r="AL16" s="26"/>
      <c r="AM16" s="27"/>
      <c r="AN16" s="9"/>
    </row>
    <row r="17">
      <c r="B17" s="42"/>
      <c r="C17" s="82" t="b">
        <v>0</v>
      </c>
      <c r="D17" s="82" t="b">
        <v>0</v>
      </c>
      <c r="E17" s="82" t="b">
        <v>0</v>
      </c>
      <c r="F17" s="82" t="b">
        <v>0</v>
      </c>
      <c r="G17" s="82" t="b">
        <v>0</v>
      </c>
      <c r="H17" s="82" t="b">
        <v>0</v>
      </c>
      <c r="I17" s="82" t="b">
        <v>0</v>
      </c>
      <c r="J17" s="44" t="b">
        <v>0</v>
      </c>
      <c r="K17" s="44" t="b">
        <v>0</v>
      </c>
      <c r="L17" s="44" t="b">
        <v>0</v>
      </c>
      <c r="M17" s="44" t="b">
        <v>0</v>
      </c>
      <c r="N17" s="44" t="b">
        <v>0</v>
      </c>
      <c r="O17" s="44" t="b">
        <v>0</v>
      </c>
      <c r="P17" s="44" t="b">
        <v>0</v>
      </c>
      <c r="Q17" s="82" t="b">
        <v>0</v>
      </c>
      <c r="R17" s="82" t="b">
        <v>0</v>
      </c>
      <c r="S17" s="82" t="b">
        <v>0</v>
      </c>
      <c r="T17" s="82" t="b">
        <v>0</v>
      </c>
      <c r="U17" s="82" t="b">
        <v>0</v>
      </c>
      <c r="V17" s="82" t="b">
        <v>0</v>
      </c>
      <c r="W17" s="82" t="b">
        <v>0</v>
      </c>
      <c r="X17" s="44" t="b">
        <v>0</v>
      </c>
      <c r="Y17" s="44" t="b">
        <v>0</v>
      </c>
      <c r="Z17" s="44" t="b">
        <v>0</v>
      </c>
      <c r="AA17" s="44" t="b">
        <v>0</v>
      </c>
      <c r="AB17" s="44" t="b">
        <v>0</v>
      </c>
      <c r="AC17" s="44" t="b">
        <v>0</v>
      </c>
      <c r="AD17" s="44" t="b">
        <v>0</v>
      </c>
      <c r="AE17" s="43" t="b">
        <v>0</v>
      </c>
      <c r="AF17" s="43" t="b">
        <v>0</v>
      </c>
      <c r="AG17" s="43" t="b">
        <v>0</v>
      </c>
      <c r="AH17" s="9"/>
      <c r="AI17" s="45">
        <f t="shared" si="1"/>
        <v>31</v>
      </c>
      <c r="AJ17" s="46">
        <f t="shared" si="2"/>
        <v>0</v>
      </c>
      <c r="AK17" s="29" t="str">
        <f>IFERROR(__xludf.DUMMYFUNCTION("SPARKLINE(AJ17/AI17, {""charttype"",""bar"";""max"",1;""color1"",""#90EE90""})"),"")</f>
        <v/>
      </c>
      <c r="AL17" s="26"/>
      <c r="AM17" s="27"/>
      <c r="AN17" s="9"/>
    </row>
    <row r="18">
      <c r="B18" s="42"/>
      <c r="C18" s="82" t="b">
        <v>0</v>
      </c>
      <c r="D18" s="82" t="b">
        <v>0</v>
      </c>
      <c r="E18" s="82" t="b">
        <v>0</v>
      </c>
      <c r="F18" s="82" t="b">
        <v>0</v>
      </c>
      <c r="G18" s="82" t="b">
        <v>0</v>
      </c>
      <c r="H18" s="82" t="b">
        <v>0</v>
      </c>
      <c r="I18" s="82" t="b">
        <v>0</v>
      </c>
      <c r="J18" s="44" t="b">
        <v>0</v>
      </c>
      <c r="K18" s="44" t="b">
        <v>0</v>
      </c>
      <c r="L18" s="44" t="b">
        <v>0</v>
      </c>
      <c r="M18" s="44" t="b">
        <v>0</v>
      </c>
      <c r="N18" s="44" t="b">
        <v>0</v>
      </c>
      <c r="O18" s="44" t="b">
        <v>0</v>
      </c>
      <c r="P18" s="44" t="b">
        <v>0</v>
      </c>
      <c r="Q18" s="82" t="b">
        <v>0</v>
      </c>
      <c r="R18" s="82" t="b">
        <v>0</v>
      </c>
      <c r="S18" s="82" t="b">
        <v>0</v>
      </c>
      <c r="T18" s="82" t="b">
        <v>0</v>
      </c>
      <c r="U18" s="82" t="b">
        <v>0</v>
      </c>
      <c r="V18" s="82" t="b">
        <v>0</v>
      </c>
      <c r="W18" s="82" t="b">
        <v>0</v>
      </c>
      <c r="X18" s="44" t="b">
        <v>0</v>
      </c>
      <c r="Y18" s="44" t="b">
        <v>0</v>
      </c>
      <c r="Z18" s="44" t="b">
        <v>0</v>
      </c>
      <c r="AA18" s="44" t="b">
        <v>0</v>
      </c>
      <c r="AB18" s="44" t="b">
        <v>0</v>
      </c>
      <c r="AC18" s="44" t="b">
        <v>0</v>
      </c>
      <c r="AD18" s="44" t="b">
        <v>0</v>
      </c>
      <c r="AE18" s="43" t="b">
        <v>0</v>
      </c>
      <c r="AF18" s="43" t="b">
        <v>0</v>
      </c>
      <c r="AG18" s="43" t="b">
        <v>0</v>
      </c>
      <c r="AH18" s="9"/>
      <c r="AI18" s="45">
        <f t="shared" si="1"/>
        <v>31</v>
      </c>
      <c r="AJ18" s="46">
        <f t="shared" si="2"/>
        <v>0</v>
      </c>
      <c r="AK18" s="29" t="str">
        <f>IFERROR(__xludf.DUMMYFUNCTION("SPARKLINE(AJ18/AI18, {""charttype"",""bar"";""max"",1;""color1"",""#90EE90""})"),"")</f>
        <v/>
      </c>
      <c r="AL18" s="26"/>
      <c r="AM18" s="27"/>
      <c r="AN18" s="9"/>
    </row>
    <row r="19">
      <c r="B19" s="42"/>
      <c r="C19" s="82" t="b">
        <v>0</v>
      </c>
      <c r="D19" s="82" t="b">
        <v>0</v>
      </c>
      <c r="E19" s="82" t="b">
        <v>0</v>
      </c>
      <c r="F19" s="82" t="b">
        <v>0</v>
      </c>
      <c r="G19" s="82" t="b">
        <v>0</v>
      </c>
      <c r="H19" s="82" t="b">
        <v>0</v>
      </c>
      <c r="I19" s="82" t="b">
        <v>0</v>
      </c>
      <c r="J19" s="44" t="b">
        <v>0</v>
      </c>
      <c r="K19" s="44" t="b">
        <v>0</v>
      </c>
      <c r="L19" s="44" t="b">
        <v>0</v>
      </c>
      <c r="M19" s="44" t="b">
        <v>0</v>
      </c>
      <c r="N19" s="44" t="b">
        <v>0</v>
      </c>
      <c r="O19" s="44" t="b">
        <v>0</v>
      </c>
      <c r="P19" s="44" t="b">
        <v>0</v>
      </c>
      <c r="Q19" s="82" t="b">
        <v>0</v>
      </c>
      <c r="R19" s="82" t="b">
        <v>0</v>
      </c>
      <c r="S19" s="82" t="b">
        <v>0</v>
      </c>
      <c r="T19" s="82" t="b">
        <v>0</v>
      </c>
      <c r="U19" s="82" t="b">
        <v>0</v>
      </c>
      <c r="V19" s="82" t="b">
        <v>0</v>
      </c>
      <c r="W19" s="82" t="b">
        <v>0</v>
      </c>
      <c r="X19" s="44" t="b">
        <v>0</v>
      </c>
      <c r="Y19" s="44" t="b">
        <v>0</v>
      </c>
      <c r="Z19" s="44" t="b">
        <v>0</v>
      </c>
      <c r="AA19" s="44" t="b">
        <v>0</v>
      </c>
      <c r="AB19" s="44" t="b">
        <v>0</v>
      </c>
      <c r="AC19" s="44" t="b">
        <v>0</v>
      </c>
      <c r="AD19" s="44" t="b">
        <v>0</v>
      </c>
      <c r="AE19" s="43" t="b">
        <v>0</v>
      </c>
      <c r="AF19" s="43" t="b">
        <v>0</v>
      </c>
      <c r="AG19" s="43" t="b">
        <v>0</v>
      </c>
      <c r="AH19" s="9"/>
      <c r="AI19" s="45">
        <f t="shared" si="1"/>
        <v>31</v>
      </c>
      <c r="AJ19" s="46">
        <f t="shared" si="2"/>
        <v>0</v>
      </c>
      <c r="AK19" s="29" t="str">
        <f>IFERROR(__xludf.DUMMYFUNCTION("SPARKLINE(AJ19/AI19, {""charttype"",""bar"";""max"",1;""color1"",""#90EE90""})"),"")</f>
        <v/>
      </c>
      <c r="AL19" s="26"/>
      <c r="AM19" s="27"/>
      <c r="AN19" s="9"/>
    </row>
    <row r="20">
      <c r="B20" s="47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</row>
    <row r="21">
      <c r="B21" s="40" t="s">
        <v>11</v>
      </c>
      <c r="C21" s="49">
        <f t="shared" ref="C21:AG21" si="3">COUNTIF(C10:C19, TRUE)/COUNTA(C10:C19)</f>
        <v>0</v>
      </c>
      <c r="D21" s="49">
        <f t="shared" si="3"/>
        <v>0</v>
      </c>
      <c r="E21" s="49">
        <f t="shared" si="3"/>
        <v>0</v>
      </c>
      <c r="F21" s="49">
        <f t="shared" si="3"/>
        <v>0</v>
      </c>
      <c r="G21" s="49">
        <f t="shared" si="3"/>
        <v>0</v>
      </c>
      <c r="H21" s="49">
        <f t="shared" si="3"/>
        <v>0</v>
      </c>
      <c r="I21" s="49">
        <f t="shared" si="3"/>
        <v>0</v>
      </c>
      <c r="J21" s="49">
        <f t="shared" si="3"/>
        <v>0</v>
      </c>
      <c r="K21" s="49">
        <f t="shared" si="3"/>
        <v>0</v>
      </c>
      <c r="L21" s="49">
        <f t="shared" si="3"/>
        <v>0</v>
      </c>
      <c r="M21" s="49">
        <f t="shared" si="3"/>
        <v>0</v>
      </c>
      <c r="N21" s="49">
        <f t="shared" si="3"/>
        <v>0</v>
      </c>
      <c r="O21" s="49">
        <f t="shared" si="3"/>
        <v>0</v>
      </c>
      <c r="P21" s="49">
        <f t="shared" si="3"/>
        <v>0</v>
      </c>
      <c r="Q21" s="49">
        <f t="shared" si="3"/>
        <v>0</v>
      </c>
      <c r="R21" s="49">
        <f t="shared" si="3"/>
        <v>0</v>
      </c>
      <c r="S21" s="49">
        <f t="shared" si="3"/>
        <v>0</v>
      </c>
      <c r="T21" s="49">
        <f t="shared" si="3"/>
        <v>0</v>
      </c>
      <c r="U21" s="49">
        <f t="shared" si="3"/>
        <v>0</v>
      </c>
      <c r="V21" s="49">
        <f t="shared" si="3"/>
        <v>0</v>
      </c>
      <c r="W21" s="49">
        <f t="shared" si="3"/>
        <v>0</v>
      </c>
      <c r="X21" s="49">
        <f t="shared" si="3"/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B21" s="49">
        <f t="shared" si="3"/>
        <v>0</v>
      </c>
      <c r="AC21" s="49">
        <f t="shared" si="3"/>
        <v>0</v>
      </c>
      <c r="AD21" s="49">
        <f t="shared" si="3"/>
        <v>0</v>
      </c>
      <c r="AE21" s="49">
        <f t="shared" si="3"/>
        <v>0</v>
      </c>
      <c r="AF21" s="49">
        <f t="shared" si="3"/>
        <v>0</v>
      </c>
      <c r="AG21" s="49">
        <f t="shared" si="3"/>
        <v>0</v>
      </c>
    </row>
    <row r="22">
      <c r="B22" s="40" t="s">
        <v>38</v>
      </c>
      <c r="C22" s="46">
        <f t="shared" ref="C22:AG22" si="4">COUNTIF(C10:C19, TRUE)</f>
        <v>0</v>
      </c>
      <c r="D22" s="46">
        <f t="shared" si="4"/>
        <v>0</v>
      </c>
      <c r="E22" s="46">
        <f t="shared" si="4"/>
        <v>0</v>
      </c>
      <c r="F22" s="46">
        <f t="shared" si="4"/>
        <v>0</v>
      </c>
      <c r="G22" s="46">
        <f t="shared" si="4"/>
        <v>0</v>
      </c>
      <c r="H22" s="46">
        <f t="shared" si="4"/>
        <v>0</v>
      </c>
      <c r="I22" s="46">
        <f t="shared" si="4"/>
        <v>0</v>
      </c>
      <c r="J22" s="46">
        <f t="shared" si="4"/>
        <v>0</v>
      </c>
      <c r="K22" s="46">
        <f t="shared" si="4"/>
        <v>0</v>
      </c>
      <c r="L22" s="46">
        <f t="shared" si="4"/>
        <v>0</v>
      </c>
      <c r="M22" s="46">
        <f t="shared" si="4"/>
        <v>0</v>
      </c>
      <c r="N22" s="46">
        <f t="shared" si="4"/>
        <v>0</v>
      </c>
      <c r="O22" s="46">
        <f t="shared" si="4"/>
        <v>0</v>
      </c>
      <c r="P22" s="46">
        <f t="shared" si="4"/>
        <v>0</v>
      </c>
      <c r="Q22" s="46">
        <f t="shared" si="4"/>
        <v>0</v>
      </c>
      <c r="R22" s="46">
        <f t="shared" si="4"/>
        <v>0</v>
      </c>
      <c r="S22" s="46">
        <f t="shared" si="4"/>
        <v>0</v>
      </c>
      <c r="T22" s="46">
        <f t="shared" si="4"/>
        <v>0</v>
      </c>
      <c r="U22" s="46">
        <f t="shared" si="4"/>
        <v>0</v>
      </c>
      <c r="V22" s="46">
        <f t="shared" si="4"/>
        <v>0</v>
      </c>
      <c r="W22" s="46">
        <f t="shared" si="4"/>
        <v>0</v>
      </c>
      <c r="X22" s="46">
        <f t="shared" si="4"/>
        <v>0</v>
      </c>
      <c r="Y22" s="46">
        <f t="shared" si="4"/>
        <v>0</v>
      </c>
      <c r="Z22" s="46">
        <f t="shared" si="4"/>
        <v>0</v>
      </c>
      <c r="AA22" s="46">
        <f t="shared" si="4"/>
        <v>0</v>
      </c>
      <c r="AB22" s="46">
        <f t="shared" si="4"/>
        <v>0</v>
      </c>
      <c r="AC22" s="46">
        <f t="shared" si="4"/>
        <v>0</v>
      </c>
      <c r="AD22" s="46">
        <f t="shared" si="4"/>
        <v>0</v>
      </c>
      <c r="AE22" s="46">
        <f t="shared" si="4"/>
        <v>0</v>
      </c>
      <c r="AF22" s="46">
        <f t="shared" si="4"/>
        <v>0</v>
      </c>
      <c r="AG22" s="46">
        <f t="shared" si="4"/>
        <v>0</v>
      </c>
    </row>
    <row r="23">
      <c r="B23" s="40" t="s">
        <v>39</v>
      </c>
      <c r="C23" s="46">
        <f t="shared" ref="C23:AG23" si="5">COUNTIF(C10:C19, FALSE)</f>
        <v>10</v>
      </c>
      <c r="D23" s="46">
        <f t="shared" si="5"/>
        <v>10</v>
      </c>
      <c r="E23" s="46">
        <f t="shared" si="5"/>
        <v>10</v>
      </c>
      <c r="F23" s="46">
        <f t="shared" si="5"/>
        <v>10</v>
      </c>
      <c r="G23" s="46">
        <f t="shared" si="5"/>
        <v>10</v>
      </c>
      <c r="H23" s="46">
        <f t="shared" si="5"/>
        <v>10</v>
      </c>
      <c r="I23" s="46">
        <f t="shared" si="5"/>
        <v>10</v>
      </c>
      <c r="J23" s="46">
        <f t="shared" si="5"/>
        <v>10</v>
      </c>
      <c r="K23" s="46">
        <f t="shared" si="5"/>
        <v>10</v>
      </c>
      <c r="L23" s="46">
        <f t="shared" si="5"/>
        <v>10</v>
      </c>
      <c r="M23" s="46">
        <f t="shared" si="5"/>
        <v>10</v>
      </c>
      <c r="N23" s="46">
        <f t="shared" si="5"/>
        <v>10</v>
      </c>
      <c r="O23" s="46">
        <f t="shared" si="5"/>
        <v>10</v>
      </c>
      <c r="P23" s="46">
        <f t="shared" si="5"/>
        <v>10</v>
      </c>
      <c r="Q23" s="46">
        <f t="shared" si="5"/>
        <v>10</v>
      </c>
      <c r="R23" s="46">
        <f t="shared" si="5"/>
        <v>10</v>
      </c>
      <c r="S23" s="46">
        <f t="shared" si="5"/>
        <v>10</v>
      </c>
      <c r="T23" s="46">
        <f t="shared" si="5"/>
        <v>10</v>
      </c>
      <c r="U23" s="46">
        <f t="shared" si="5"/>
        <v>10</v>
      </c>
      <c r="V23" s="46">
        <f t="shared" si="5"/>
        <v>10</v>
      </c>
      <c r="W23" s="46">
        <f t="shared" si="5"/>
        <v>10</v>
      </c>
      <c r="X23" s="46">
        <f t="shared" si="5"/>
        <v>10</v>
      </c>
      <c r="Y23" s="46">
        <f t="shared" si="5"/>
        <v>10</v>
      </c>
      <c r="Z23" s="46">
        <f t="shared" si="5"/>
        <v>10</v>
      </c>
      <c r="AA23" s="46">
        <f t="shared" si="5"/>
        <v>10</v>
      </c>
      <c r="AB23" s="46">
        <f t="shared" si="5"/>
        <v>10</v>
      </c>
      <c r="AC23" s="46">
        <f t="shared" si="5"/>
        <v>10</v>
      </c>
      <c r="AD23" s="46">
        <f t="shared" si="5"/>
        <v>10</v>
      </c>
      <c r="AE23" s="46">
        <f t="shared" si="5"/>
        <v>10</v>
      </c>
      <c r="AF23" s="46">
        <f t="shared" si="5"/>
        <v>10</v>
      </c>
      <c r="AG23" s="46">
        <f t="shared" si="5"/>
        <v>10</v>
      </c>
    </row>
    <row r="33">
      <c r="B33" s="50"/>
      <c r="C33" s="41" t="s">
        <v>40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</row>
    <row r="34">
      <c r="B34" s="40" t="s">
        <v>41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1"/>
    </row>
    <row r="35">
      <c r="B35" s="40" t="s">
        <v>42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1"/>
    </row>
    <row r="36">
      <c r="C36" s="53">
        <f t="shared" ref="C36:AG36" si="6">(C35+C34)/20</f>
        <v>0</v>
      </c>
      <c r="D36" s="53">
        <f t="shared" si="6"/>
        <v>0</v>
      </c>
      <c r="E36" s="53">
        <f t="shared" si="6"/>
        <v>0</v>
      </c>
      <c r="F36" s="53">
        <f t="shared" si="6"/>
        <v>0</v>
      </c>
      <c r="G36" s="53">
        <f t="shared" si="6"/>
        <v>0</v>
      </c>
      <c r="H36" s="53">
        <f t="shared" si="6"/>
        <v>0</v>
      </c>
      <c r="I36" s="53">
        <f t="shared" si="6"/>
        <v>0</v>
      </c>
      <c r="J36" s="53">
        <f t="shared" si="6"/>
        <v>0</v>
      </c>
      <c r="K36" s="53">
        <f t="shared" si="6"/>
        <v>0</v>
      </c>
      <c r="L36" s="53">
        <f t="shared" si="6"/>
        <v>0</v>
      </c>
      <c r="M36" s="53">
        <f t="shared" si="6"/>
        <v>0</v>
      </c>
      <c r="N36" s="53">
        <f t="shared" si="6"/>
        <v>0</v>
      </c>
      <c r="O36" s="53">
        <f t="shared" si="6"/>
        <v>0</v>
      </c>
      <c r="P36" s="53">
        <f t="shared" si="6"/>
        <v>0</v>
      </c>
      <c r="Q36" s="53">
        <f t="shared" si="6"/>
        <v>0</v>
      </c>
      <c r="R36" s="53">
        <f t="shared" si="6"/>
        <v>0</v>
      </c>
      <c r="S36" s="53">
        <f t="shared" si="6"/>
        <v>0</v>
      </c>
      <c r="T36" s="53">
        <f t="shared" si="6"/>
        <v>0</v>
      </c>
      <c r="U36" s="53">
        <f t="shared" si="6"/>
        <v>0</v>
      </c>
      <c r="V36" s="53">
        <f t="shared" si="6"/>
        <v>0</v>
      </c>
      <c r="W36" s="53">
        <f t="shared" si="6"/>
        <v>0</v>
      </c>
      <c r="X36" s="53">
        <f t="shared" si="6"/>
        <v>0</v>
      </c>
      <c r="Y36" s="53">
        <f t="shared" si="6"/>
        <v>0</v>
      </c>
      <c r="Z36" s="53">
        <f t="shared" si="6"/>
        <v>0</v>
      </c>
      <c r="AA36" s="53">
        <f t="shared" si="6"/>
        <v>0</v>
      </c>
      <c r="AB36" s="53">
        <f t="shared" si="6"/>
        <v>0</v>
      </c>
      <c r="AC36" s="53">
        <f t="shared" si="6"/>
        <v>0</v>
      </c>
      <c r="AD36" s="53">
        <f t="shared" si="6"/>
        <v>0</v>
      </c>
      <c r="AE36" s="53">
        <f t="shared" si="6"/>
        <v>0</v>
      </c>
      <c r="AF36" s="53">
        <f t="shared" si="6"/>
        <v>0</v>
      </c>
      <c r="AG36" s="53">
        <f t="shared" si="6"/>
        <v>0</v>
      </c>
    </row>
  </sheetData>
  <mergeCells count="28">
    <mergeCell ref="AB3:AD3"/>
    <mergeCell ref="AB4:AD4"/>
    <mergeCell ref="B3:H4"/>
    <mergeCell ref="J3:N3"/>
    <mergeCell ref="P3:T3"/>
    <mergeCell ref="V3:Z3"/>
    <mergeCell ref="J4:N4"/>
    <mergeCell ref="P4:T4"/>
    <mergeCell ref="V4:Z4"/>
    <mergeCell ref="B7:B9"/>
    <mergeCell ref="C7:I7"/>
    <mergeCell ref="J7:P7"/>
    <mergeCell ref="Q7:W7"/>
    <mergeCell ref="X7:AD7"/>
    <mergeCell ref="AE7:AF7"/>
    <mergeCell ref="AI7:AM8"/>
    <mergeCell ref="AK16:AM16"/>
    <mergeCell ref="AK17:AM17"/>
    <mergeCell ref="AK18:AM18"/>
    <mergeCell ref="AK19:AM19"/>
    <mergeCell ref="C33:AG33"/>
    <mergeCell ref="AK9:AM9"/>
    <mergeCell ref="AK10:AM10"/>
    <mergeCell ref="AK11:AM11"/>
    <mergeCell ref="AK12:AM12"/>
    <mergeCell ref="AK13:AM13"/>
    <mergeCell ref="AK14:AM14"/>
    <mergeCell ref="AK15:AM15"/>
  </mergeCells>
  <dataValidations>
    <dataValidation type="list" allowBlank="1" showErrorMessage="1" sqref="C34:AG35">
      <formula1>"10,9,8,7,6,5,4,3,2,1,0"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23.25"/>
    <col customWidth="1" min="3" max="33" width="4.13"/>
    <col customWidth="1" min="34" max="34" width="10.0"/>
    <col customWidth="1" min="35" max="35" width="8.0"/>
    <col customWidth="1" min="36" max="39" width="4.13"/>
  </cols>
  <sheetData>
    <row r="2">
      <c r="B2" s="64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6"/>
      <c r="AM2" s="9"/>
    </row>
    <row r="3">
      <c r="B3" s="10" t="s">
        <v>66</v>
      </c>
      <c r="I3" s="67"/>
      <c r="J3" s="68" t="s">
        <v>70</v>
      </c>
      <c r="O3" s="69"/>
      <c r="P3" s="68" t="s">
        <v>10</v>
      </c>
      <c r="U3" s="69"/>
      <c r="V3" s="68" t="s">
        <v>11</v>
      </c>
      <c r="AA3" s="69"/>
      <c r="AB3" s="68" t="s">
        <v>12</v>
      </c>
      <c r="AE3" s="12"/>
      <c r="AF3" s="12"/>
      <c r="AG3" s="70"/>
      <c r="AH3" s="71"/>
      <c r="AI3" s="71"/>
      <c r="AJ3" s="71"/>
      <c r="AK3" s="71"/>
      <c r="AL3" s="72"/>
      <c r="AM3" s="9"/>
    </row>
    <row r="4">
      <c r="B4" s="17"/>
      <c r="I4" s="67"/>
      <c r="J4" s="71">
        <f>COUNTA($B$10:$B$19)</f>
        <v>0</v>
      </c>
      <c r="O4" s="70"/>
      <c r="P4" s="71">
        <f>COUNTIF($C$10:$AF$19, TRUE)</f>
        <v>0</v>
      </c>
      <c r="U4" s="70"/>
      <c r="V4" s="73" t="str">
        <f>IFERROR(__xludf.DUMMYFUNCTION("SPARKLINE(AB4, {""charttype"",""bar"";""max"",1;""color1"",""#90EE90""})"),"")</f>
        <v/>
      </c>
      <c r="AA4" s="70"/>
      <c r="AB4" s="74">
        <f>(P4)/(COUNTA($C$10:$C$19)*COUNTA($C$10:$AF$10))</f>
        <v>0</v>
      </c>
      <c r="AE4" s="74"/>
      <c r="AF4" s="74"/>
      <c r="AG4" s="70"/>
      <c r="AH4" s="71"/>
      <c r="AI4" s="71"/>
      <c r="AJ4" s="71"/>
      <c r="AK4" s="71"/>
      <c r="AL4" s="72"/>
      <c r="AM4" s="9"/>
    </row>
    <row r="5">
      <c r="B5" s="75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7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8"/>
      <c r="AM5" s="9"/>
    </row>
    <row r="6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</row>
    <row r="7">
      <c r="B7" s="24" t="s">
        <v>13</v>
      </c>
      <c r="C7" s="25" t="s">
        <v>14</v>
      </c>
      <c r="D7" s="26"/>
      <c r="E7" s="26"/>
      <c r="F7" s="26"/>
      <c r="G7" s="26"/>
      <c r="H7" s="26"/>
      <c r="I7" s="27"/>
      <c r="J7" s="28" t="s">
        <v>15</v>
      </c>
      <c r="K7" s="26"/>
      <c r="L7" s="26"/>
      <c r="M7" s="26"/>
      <c r="N7" s="26"/>
      <c r="O7" s="26"/>
      <c r="P7" s="27"/>
      <c r="Q7" s="25" t="s">
        <v>16</v>
      </c>
      <c r="R7" s="26"/>
      <c r="S7" s="26"/>
      <c r="T7" s="26"/>
      <c r="U7" s="26"/>
      <c r="V7" s="26"/>
      <c r="W7" s="27"/>
      <c r="X7" s="28" t="s">
        <v>17</v>
      </c>
      <c r="Y7" s="26"/>
      <c r="Z7" s="26"/>
      <c r="AA7" s="26"/>
      <c r="AB7" s="26"/>
      <c r="AC7" s="26"/>
      <c r="AD7" s="27"/>
      <c r="AE7" s="29"/>
      <c r="AF7" s="27"/>
      <c r="AG7" s="9"/>
      <c r="AH7" s="30" t="s">
        <v>18</v>
      </c>
      <c r="AI7" s="31"/>
      <c r="AJ7" s="31"/>
      <c r="AK7" s="31"/>
      <c r="AL7" s="32"/>
    </row>
    <row r="8">
      <c r="B8" s="33"/>
      <c r="C8" s="34" t="s">
        <v>22</v>
      </c>
      <c r="D8" s="34" t="s">
        <v>23</v>
      </c>
      <c r="E8" s="34" t="s">
        <v>24</v>
      </c>
      <c r="F8" s="34" t="s">
        <v>25</v>
      </c>
      <c r="G8" s="34" t="s">
        <v>19</v>
      </c>
      <c r="H8" s="34" t="s">
        <v>20</v>
      </c>
      <c r="I8" s="34" t="s">
        <v>21</v>
      </c>
      <c r="J8" s="35" t="s">
        <v>22</v>
      </c>
      <c r="K8" s="35" t="s">
        <v>23</v>
      </c>
      <c r="L8" s="35" t="s">
        <v>24</v>
      </c>
      <c r="M8" s="35" t="s">
        <v>25</v>
      </c>
      <c r="N8" s="35" t="s">
        <v>19</v>
      </c>
      <c r="O8" s="35" t="s">
        <v>20</v>
      </c>
      <c r="P8" s="35" t="s">
        <v>21</v>
      </c>
      <c r="Q8" s="34" t="s">
        <v>22</v>
      </c>
      <c r="R8" s="34" t="s">
        <v>23</v>
      </c>
      <c r="S8" s="34" t="s">
        <v>24</v>
      </c>
      <c r="T8" s="34" t="s">
        <v>25</v>
      </c>
      <c r="U8" s="34" t="s">
        <v>19</v>
      </c>
      <c r="V8" s="34" t="s">
        <v>20</v>
      </c>
      <c r="W8" s="34" t="s">
        <v>21</v>
      </c>
      <c r="X8" s="35" t="s">
        <v>22</v>
      </c>
      <c r="Y8" s="35" t="s">
        <v>23</v>
      </c>
      <c r="Z8" s="35" t="s">
        <v>24</v>
      </c>
      <c r="AA8" s="35" t="s">
        <v>25</v>
      </c>
      <c r="AB8" s="35" t="s">
        <v>19</v>
      </c>
      <c r="AC8" s="35" t="s">
        <v>20</v>
      </c>
      <c r="AD8" s="35" t="s">
        <v>21</v>
      </c>
      <c r="AE8" s="34" t="s">
        <v>22</v>
      </c>
      <c r="AF8" s="34" t="s">
        <v>23</v>
      </c>
      <c r="AG8" s="9"/>
      <c r="AH8" s="36"/>
      <c r="AI8" s="37"/>
      <c r="AJ8" s="37"/>
      <c r="AK8" s="37"/>
      <c r="AL8" s="38"/>
    </row>
    <row r="9">
      <c r="B9" s="39"/>
      <c r="C9" s="34">
        <v>1.0</v>
      </c>
      <c r="D9" s="34">
        <v>2.0</v>
      </c>
      <c r="E9" s="34">
        <v>3.0</v>
      </c>
      <c r="F9" s="34">
        <v>4.0</v>
      </c>
      <c r="G9" s="34">
        <v>5.0</v>
      </c>
      <c r="H9" s="34">
        <v>6.0</v>
      </c>
      <c r="I9" s="34">
        <v>7.0</v>
      </c>
      <c r="J9" s="35">
        <v>8.0</v>
      </c>
      <c r="K9" s="35">
        <v>9.0</v>
      </c>
      <c r="L9" s="35">
        <v>10.0</v>
      </c>
      <c r="M9" s="35">
        <v>11.0</v>
      </c>
      <c r="N9" s="35">
        <v>12.0</v>
      </c>
      <c r="O9" s="35">
        <v>13.0</v>
      </c>
      <c r="P9" s="35">
        <v>14.0</v>
      </c>
      <c r="Q9" s="34">
        <v>15.0</v>
      </c>
      <c r="R9" s="34">
        <v>16.0</v>
      </c>
      <c r="S9" s="34">
        <v>17.0</v>
      </c>
      <c r="T9" s="34">
        <v>18.0</v>
      </c>
      <c r="U9" s="34">
        <v>19.0</v>
      </c>
      <c r="V9" s="34">
        <v>20.0</v>
      </c>
      <c r="W9" s="34">
        <v>21.0</v>
      </c>
      <c r="X9" s="35">
        <v>22.0</v>
      </c>
      <c r="Y9" s="35">
        <v>23.0</v>
      </c>
      <c r="Z9" s="35">
        <v>24.0</v>
      </c>
      <c r="AA9" s="35">
        <v>25.0</v>
      </c>
      <c r="AB9" s="35">
        <v>26.0</v>
      </c>
      <c r="AC9" s="35">
        <v>27.0</v>
      </c>
      <c r="AD9" s="35">
        <v>28.0</v>
      </c>
      <c r="AE9" s="34">
        <v>29.0</v>
      </c>
      <c r="AF9" s="34">
        <v>30.0</v>
      </c>
      <c r="AG9" s="9"/>
      <c r="AH9" s="40" t="s">
        <v>26</v>
      </c>
      <c r="AI9" s="40" t="s">
        <v>27</v>
      </c>
      <c r="AJ9" s="41" t="s">
        <v>11</v>
      </c>
      <c r="AK9" s="26"/>
      <c r="AL9" s="27"/>
    </row>
    <row r="10">
      <c r="B10" s="42"/>
      <c r="C10" s="43" t="b">
        <v>0</v>
      </c>
      <c r="D10" s="43" t="b">
        <v>0</v>
      </c>
      <c r="E10" s="43" t="b">
        <v>0</v>
      </c>
      <c r="F10" s="43" t="b">
        <v>0</v>
      </c>
      <c r="G10" s="43" t="b">
        <v>0</v>
      </c>
      <c r="H10" s="43" t="b">
        <v>0</v>
      </c>
      <c r="I10" s="43" t="b">
        <v>0</v>
      </c>
      <c r="J10" s="44" t="b">
        <v>0</v>
      </c>
      <c r="K10" s="44" t="b">
        <v>0</v>
      </c>
      <c r="L10" s="44" t="b">
        <v>0</v>
      </c>
      <c r="M10" s="44" t="b">
        <v>0</v>
      </c>
      <c r="N10" s="44" t="b">
        <v>0</v>
      </c>
      <c r="O10" s="44" t="b">
        <v>0</v>
      </c>
      <c r="P10" s="44" t="b">
        <v>0</v>
      </c>
      <c r="Q10" s="43" t="b">
        <v>0</v>
      </c>
      <c r="R10" s="43" t="b">
        <v>0</v>
      </c>
      <c r="S10" s="43" t="b">
        <v>0</v>
      </c>
      <c r="T10" s="43" t="b">
        <v>0</v>
      </c>
      <c r="U10" s="43" t="b">
        <v>0</v>
      </c>
      <c r="V10" s="43" t="b">
        <v>0</v>
      </c>
      <c r="W10" s="43" t="b">
        <v>0</v>
      </c>
      <c r="X10" s="44" t="b">
        <v>0</v>
      </c>
      <c r="Y10" s="44" t="b">
        <v>0</v>
      </c>
      <c r="Z10" s="44" t="b">
        <v>0</v>
      </c>
      <c r="AA10" s="44" t="b">
        <v>0</v>
      </c>
      <c r="AB10" s="44" t="b">
        <v>0</v>
      </c>
      <c r="AC10" s="44" t="b">
        <v>0</v>
      </c>
      <c r="AD10" s="44" t="b">
        <v>0</v>
      </c>
      <c r="AE10" s="43" t="b">
        <v>0</v>
      </c>
      <c r="AF10" s="43" t="b">
        <v>0</v>
      </c>
      <c r="AG10" s="9"/>
      <c r="AH10" s="45">
        <f t="shared" ref="AH10:AH19" si="1">30</f>
        <v>30</v>
      </c>
      <c r="AI10" s="46">
        <f t="shared" ref="AI10:AI19" si="2">COUNTIF(C10:AF10, TRUE)</f>
        <v>0</v>
      </c>
      <c r="AJ10" s="29" t="str">
        <f>IFERROR(__xludf.DUMMYFUNCTION("SPARKLINE(AI10/AH10, {""charttype"",""bar"";""max"",1;""color1"",""#90EE90""})"),"")</f>
        <v/>
      </c>
      <c r="AK10" s="26"/>
      <c r="AL10" s="27"/>
      <c r="AM10" s="9"/>
    </row>
    <row r="11">
      <c r="B11" s="42"/>
      <c r="C11" s="43" t="b">
        <v>0</v>
      </c>
      <c r="D11" s="43" t="b">
        <v>0</v>
      </c>
      <c r="E11" s="43" t="b">
        <v>0</v>
      </c>
      <c r="F11" s="43" t="b">
        <v>0</v>
      </c>
      <c r="G11" s="43" t="b">
        <v>0</v>
      </c>
      <c r="H11" s="43" t="b">
        <v>0</v>
      </c>
      <c r="I11" s="43" t="b">
        <v>0</v>
      </c>
      <c r="J11" s="44" t="b">
        <v>0</v>
      </c>
      <c r="K11" s="44" t="b">
        <v>0</v>
      </c>
      <c r="L11" s="44" t="b">
        <v>0</v>
      </c>
      <c r="M11" s="44" t="b">
        <v>0</v>
      </c>
      <c r="N11" s="44" t="b">
        <v>0</v>
      </c>
      <c r="O11" s="44" t="b">
        <v>0</v>
      </c>
      <c r="P11" s="44" t="b">
        <v>0</v>
      </c>
      <c r="Q11" s="43" t="b">
        <v>0</v>
      </c>
      <c r="R11" s="43" t="b">
        <v>0</v>
      </c>
      <c r="S11" s="43" t="b">
        <v>0</v>
      </c>
      <c r="T11" s="43" t="b">
        <v>0</v>
      </c>
      <c r="U11" s="43" t="b">
        <v>0</v>
      </c>
      <c r="V11" s="43" t="b">
        <v>0</v>
      </c>
      <c r="W11" s="43" t="b">
        <v>0</v>
      </c>
      <c r="X11" s="44" t="b">
        <v>0</v>
      </c>
      <c r="Y11" s="44" t="b">
        <v>0</v>
      </c>
      <c r="Z11" s="44" t="b">
        <v>0</v>
      </c>
      <c r="AA11" s="44" t="b">
        <v>0</v>
      </c>
      <c r="AB11" s="44" t="b">
        <v>0</v>
      </c>
      <c r="AC11" s="44" t="b">
        <v>0</v>
      </c>
      <c r="AD11" s="44" t="b">
        <v>0</v>
      </c>
      <c r="AE11" s="43" t="b">
        <v>0</v>
      </c>
      <c r="AF11" s="43" t="b">
        <v>0</v>
      </c>
      <c r="AG11" s="9"/>
      <c r="AH11" s="45">
        <f t="shared" si="1"/>
        <v>30</v>
      </c>
      <c r="AI11" s="46">
        <f t="shared" si="2"/>
        <v>0</v>
      </c>
      <c r="AJ11" s="29" t="str">
        <f>IFERROR(__xludf.DUMMYFUNCTION("SPARKLINE(AI11/AH11, {""charttype"",""bar"";""max"",1;""color1"",""#90EE90""})"),"")</f>
        <v/>
      </c>
      <c r="AK11" s="26"/>
      <c r="AL11" s="27"/>
      <c r="AM11" s="9"/>
    </row>
    <row r="12">
      <c r="B12" s="42"/>
      <c r="C12" s="43" t="b">
        <v>0</v>
      </c>
      <c r="D12" s="43" t="b">
        <v>0</v>
      </c>
      <c r="E12" s="43" t="b">
        <v>0</v>
      </c>
      <c r="F12" s="43" t="b">
        <v>0</v>
      </c>
      <c r="G12" s="43" t="b">
        <v>0</v>
      </c>
      <c r="H12" s="43" t="b">
        <v>0</v>
      </c>
      <c r="I12" s="43" t="b">
        <v>0</v>
      </c>
      <c r="J12" s="44" t="b">
        <v>0</v>
      </c>
      <c r="K12" s="44" t="b">
        <v>0</v>
      </c>
      <c r="L12" s="44" t="b">
        <v>0</v>
      </c>
      <c r="M12" s="44" t="b">
        <v>0</v>
      </c>
      <c r="N12" s="44" t="b">
        <v>0</v>
      </c>
      <c r="O12" s="44" t="b">
        <v>0</v>
      </c>
      <c r="P12" s="44" t="b">
        <v>0</v>
      </c>
      <c r="Q12" s="43" t="b">
        <v>0</v>
      </c>
      <c r="R12" s="43" t="b">
        <v>0</v>
      </c>
      <c r="S12" s="43" t="b">
        <v>0</v>
      </c>
      <c r="T12" s="43" t="b">
        <v>0</v>
      </c>
      <c r="U12" s="43" t="b">
        <v>0</v>
      </c>
      <c r="V12" s="43" t="b">
        <v>0</v>
      </c>
      <c r="W12" s="43" t="b">
        <v>0</v>
      </c>
      <c r="X12" s="44" t="b">
        <v>0</v>
      </c>
      <c r="Y12" s="44" t="b">
        <v>0</v>
      </c>
      <c r="Z12" s="44" t="b">
        <v>0</v>
      </c>
      <c r="AA12" s="44" t="b">
        <v>0</v>
      </c>
      <c r="AB12" s="44" t="b">
        <v>0</v>
      </c>
      <c r="AC12" s="44" t="b">
        <v>0</v>
      </c>
      <c r="AD12" s="44" t="b">
        <v>0</v>
      </c>
      <c r="AE12" s="43" t="b">
        <v>0</v>
      </c>
      <c r="AF12" s="43" t="b">
        <v>0</v>
      </c>
      <c r="AG12" s="9"/>
      <c r="AH12" s="45">
        <f t="shared" si="1"/>
        <v>30</v>
      </c>
      <c r="AI12" s="46">
        <f t="shared" si="2"/>
        <v>0</v>
      </c>
      <c r="AJ12" s="29" t="str">
        <f>IFERROR(__xludf.DUMMYFUNCTION("SPARKLINE(AI12/AH12, {""charttype"",""bar"";""max"",1;""color1"",""#90EE90""})"),"")</f>
        <v/>
      </c>
      <c r="AK12" s="26"/>
      <c r="AL12" s="27"/>
      <c r="AM12" s="9"/>
    </row>
    <row r="13">
      <c r="B13" s="42"/>
      <c r="C13" s="43" t="b">
        <v>0</v>
      </c>
      <c r="D13" s="43" t="b">
        <v>0</v>
      </c>
      <c r="E13" s="43" t="b">
        <v>0</v>
      </c>
      <c r="F13" s="43" t="b">
        <v>0</v>
      </c>
      <c r="G13" s="43" t="b">
        <v>0</v>
      </c>
      <c r="H13" s="43" t="b">
        <v>0</v>
      </c>
      <c r="I13" s="43" t="b">
        <v>0</v>
      </c>
      <c r="J13" s="44" t="b">
        <v>0</v>
      </c>
      <c r="K13" s="44" t="b">
        <v>0</v>
      </c>
      <c r="L13" s="44" t="b">
        <v>0</v>
      </c>
      <c r="M13" s="44" t="b">
        <v>0</v>
      </c>
      <c r="N13" s="44" t="b">
        <v>0</v>
      </c>
      <c r="O13" s="44" t="b">
        <v>0</v>
      </c>
      <c r="P13" s="44" t="b">
        <v>0</v>
      </c>
      <c r="Q13" s="43" t="b">
        <v>0</v>
      </c>
      <c r="R13" s="43" t="b">
        <v>0</v>
      </c>
      <c r="S13" s="43" t="b">
        <v>0</v>
      </c>
      <c r="T13" s="43" t="b">
        <v>0</v>
      </c>
      <c r="U13" s="43" t="b">
        <v>0</v>
      </c>
      <c r="V13" s="43" t="b">
        <v>0</v>
      </c>
      <c r="W13" s="43" t="b">
        <v>0</v>
      </c>
      <c r="X13" s="44" t="b">
        <v>0</v>
      </c>
      <c r="Y13" s="44" t="b">
        <v>0</v>
      </c>
      <c r="Z13" s="44" t="b">
        <v>0</v>
      </c>
      <c r="AA13" s="44" t="b">
        <v>0</v>
      </c>
      <c r="AB13" s="44" t="b">
        <v>0</v>
      </c>
      <c r="AC13" s="44" t="b">
        <v>0</v>
      </c>
      <c r="AD13" s="44" t="b">
        <v>0</v>
      </c>
      <c r="AE13" s="43" t="b">
        <v>0</v>
      </c>
      <c r="AF13" s="43" t="b">
        <v>0</v>
      </c>
      <c r="AG13" s="9"/>
      <c r="AH13" s="45">
        <f t="shared" si="1"/>
        <v>30</v>
      </c>
      <c r="AI13" s="46">
        <f t="shared" si="2"/>
        <v>0</v>
      </c>
      <c r="AJ13" s="29" t="str">
        <f>IFERROR(__xludf.DUMMYFUNCTION("SPARKLINE(AI13/AH13, {""charttype"",""bar"";""max"",1;""color1"",""#90EE90""})"),"")</f>
        <v/>
      </c>
      <c r="AK13" s="26"/>
      <c r="AL13" s="27"/>
      <c r="AM13" s="9"/>
    </row>
    <row r="14">
      <c r="B14" s="42"/>
      <c r="C14" s="43" t="b">
        <v>0</v>
      </c>
      <c r="D14" s="43" t="b">
        <v>0</v>
      </c>
      <c r="E14" s="43" t="b">
        <v>0</v>
      </c>
      <c r="F14" s="43" t="b">
        <v>0</v>
      </c>
      <c r="G14" s="43" t="b">
        <v>0</v>
      </c>
      <c r="H14" s="43" t="b">
        <v>0</v>
      </c>
      <c r="I14" s="43" t="b">
        <v>0</v>
      </c>
      <c r="J14" s="44" t="b">
        <v>0</v>
      </c>
      <c r="K14" s="44" t="b">
        <v>0</v>
      </c>
      <c r="L14" s="44" t="b">
        <v>0</v>
      </c>
      <c r="M14" s="44" t="b">
        <v>0</v>
      </c>
      <c r="N14" s="44" t="b">
        <v>0</v>
      </c>
      <c r="O14" s="44" t="b">
        <v>0</v>
      </c>
      <c r="P14" s="44" t="b">
        <v>0</v>
      </c>
      <c r="Q14" s="43" t="b">
        <v>0</v>
      </c>
      <c r="R14" s="43" t="b">
        <v>0</v>
      </c>
      <c r="S14" s="43" t="b">
        <v>0</v>
      </c>
      <c r="T14" s="43" t="b">
        <v>0</v>
      </c>
      <c r="U14" s="43" t="b">
        <v>0</v>
      </c>
      <c r="V14" s="43" t="b">
        <v>0</v>
      </c>
      <c r="W14" s="43" t="b">
        <v>0</v>
      </c>
      <c r="X14" s="44" t="b">
        <v>0</v>
      </c>
      <c r="Y14" s="44" t="b">
        <v>0</v>
      </c>
      <c r="Z14" s="44" t="b">
        <v>0</v>
      </c>
      <c r="AA14" s="44" t="b">
        <v>0</v>
      </c>
      <c r="AB14" s="44" t="b">
        <v>0</v>
      </c>
      <c r="AC14" s="44" t="b">
        <v>0</v>
      </c>
      <c r="AD14" s="44" t="b">
        <v>0</v>
      </c>
      <c r="AE14" s="43" t="b">
        <v>0</v>
      </c>
      <c r="AF14" s="43" t="b">
        <v>0</v>
      </c>
      <c r="AG14" s="9"/>
      <c r="AH14" s="45">
        <f t="shared" si="1"/>
        <v>30</v>
      </c>
      <c r="AI14" s="46">
        <f t="shared" si="2"/>
        <v>0</v>
      </c>
      <c r="AJ14" s="29" t="str">
        <f>IFERROR(__xludf.DUMMYFUNCTION("SPARKLINE(AI14/AH14, {""charttype"",""bar"";""max"",1;""color1"",""#90EE90""})"),"")</f>
        <v/>
      </c>
      <c r="AK14" s="26"/>
      <c r="AL14" s="27"/>
      <c r="AM14" s="9"/>
    </row>
    <row r="15">
      <c r="B15" s="42"/>
      <c r="C15" s="43" t="b">
        <v>0</v>
      </c>
      <c r="D15" s="43" t="b">
        <v>0</v>
      </c>
      <c r="E15" s="43" t="b">
        <v>0</v>
      </c>
      <c r="F15" s="43" t="b">
        <v>0</v>
      </c>
      <c r="G15" s="43" t="b">
        <v>0</v>
      </c>
      <c r="H15" s="43" t="b">
        <v>0</v>
      </c>
      <c r="I15" s="43" t="b">
        <v>0</v>
      </c>
      <c r="J15" s="44" t="b">
        <v>0</v>
      </c>
      <c r="K15" s="44" t="b">
        <v>0</v>
      </c>
      <c r="L15" s="44" t="b">
        <v>0</v>
      </c>
      <c r="M15" s="44" t="b">
        <v>0</v>
      </c>
      <c r="N15" s="44" t="b">
        <v>0</v>
      </c>
      <c r="O15" s="44" t="b">
        <v>0</v>
      </c>
      <c r="P15" s="44" t="b">
        <v>0</v>
      </c>
      <c r="Q15" s="43" t="b">
        <v>0</v>
      </c>
      <c r="R15" s="43" t="b">
        <v>0</v>
      </c>
      <c r="S15" s="43" t="b">
        <v>0</v>
      </c>
      <c r="T15" s="43" t="b">
        <v>0</v>
      </c>
      <c r="U15" s="43" t="b">
        <v>0</v>
      </c>
      <c r="V15" s="43" t="b">
        <v>0</v>
      </c>
      <c r="W15" s="43" t="b">
        <v>0</v>
      </c>
      <c r="X15" s="44" t="b">
        <v>0</v>
      </c>
      <c r="Y15" s="44" t="b">
        <v>0</v>
      </c>
      <c r="Z15" s="44" t="b">
        <v>0</v>
      </c>
      <c r="AA15" s="44" t="b">
        <v>0</v>
      </c>
      <c r="AB15" s="44" t="b">
        <v>0</v>
      </c>
      <c r="AC15" s="44" t="b">
        <v>0</v>
      </c>
      <c r="AD15" s="44" t="b">
        <v>0</v>
      </c>
      <c r="AE15" s="43" t="b">
        <v>0</v>
      </c>
      <c r="AF15" s="43" t="b">
        <v>0</v>
      </c>
      <c r="AG15" s="9"/>
      <c r="AH15" s="45">
        <f t="shared" si="1"/>
        <v>30</v>
      </c>
      <c r="AI15" s="46">
        <f t="shared" si="2"/>
        <v>0</v>
      </c>
      <c r="AJ15" s="29" t="str">
        <f>IFERROR(__xludf.DUMMYFUNCTION("SPARKLINE(AI15/AH15, {""charttype"",""bar"";""max"",1;""color1"",""#90EE90""})"),"")</f>
        <v/>
      </c>
      <c r="AK15" s="26"/>
      <c r="AL15" s="27"/>
      <c r="AM15" s="9"/>
    </row>
    <row r="16">
      <c r="B16" s="42"/>
      <c r="C16" s="43" t="b">
        <v>0</v>
      </c>
      <c r="D16" s="43" t="b">
        <v>0</v>
      </c>
      <c r="E16" s="43" t="b">
        <v>0</v>
      </c>
      <c r="F16" s="43" t="b">
        <v>0</v>
      </c>
      <c r="G16" s="43" t="b">
        <v>0</v>
      </c>
      <c r="H16" s="43" t="b">
        <v>0</v>
      </c>
      <c r="I16" s="43" t="b">
        <v>0</v>
      </c>
      <c r="J16" s="44" t="b">
        <v>0</v>
      </c>
      <c r="K16" s="44" t="b">
        <v>0</v>
      </c>
      <c r="L16" s="44" t="b">
        <v>0</v>
      </c>
      <c r="M16" s="44" t="b">
        <v>0</v>
      </c>
      <c r="N16" s="44" t="b">
        <v>0</v>
      </c>
      <c r="O16" s="44" t="b">
        <v>0</v>
      </c>
      <c r="P16" s="44" t="b">
        <v>0</v>
      </c>
      <c r="Q16" s="43" t="b">
        <v>0</v>
      </c>
      <c r="R16" s="43" t="b">
        <v>0</v>
      </c>
      <c r="S16" s="43" t="b">
        <v>0</v>
      </c>
      <c r="T16" s="43" t="b">
        <v>0</v>
      </c>
      <c r="U16" s="43" t="b">
        <v>0</v>
      </c>
      <c r="V16" s="43" t="b">
        <v>0</v>
      </c>
      <c r="W16" s="43" t="b">
        <v>0</v>
      </c>
      <c r="X16" s="44" t="b">
        <v>0</v>
      </c>
      <c r="Y16" s="44" t="b">
        <v>0</v>
      </c>
      <c r="Z16" s="44" t="b">
        <v>0</v>
      </c>
      <c r="AA16" s="44" t="b">
        <v>0</v>
      </c>
      <c r="AB16" s="44" t="b">
        <v>0</v>
      </c>
      <c r="AC16" s="44" t="b">
        <v>0</v>
      </c>
      <c r="AD16" s="44" t="b">
        <v>0</v>
      </c>
      <c r="AE16" s="43" t="b">
        <v>0</v>
      </c>
      <c r="AF16" s="43" t="b">
        <v>0</v>
      </c>
      <c r="AG16" s="9"/>
      <c r="AH16" s="45">
        <f t="shared" si="1"/>
        <v>30</v>
      </c>
      <c r="AI16" s="46">
        <f t="shared" si="2"/>
        <v>0</v>
      </c>
      <c r="AJ16" s="29" t="str">
        <f>IFERROR(__xludf.DUMMYFUNCTION("SPARKLINE(AI16/AH16, {""charttype"",""bar"";""max"",1;""color1"",""#90EE90""})"),"")</f>
        <v/>
      </c>
      <c r="AK16" s="26"/>
      <c r="AL16" s="27"/>
      <c r="AM16" s="9"/>
    </row>
    <row r="17">
      <c r="B17" s="42"/>
      <c r="C17" s="43" t="b">
        <v>0</v>
      </c>
      <c r="D17" s="43" t="b">
        <v>0</v>
      </c>
      <c r="E17" s="43" t="b">
        <v>0</v>
      </c>
      <c r="F17" s="43" t="b">
        <v>0</v>
      </c>
      <c r="G17" s="43" t="b">
        <v>0</v>
      </c>
      <c r="H17" s="43" t="b">
        <v>0</v>
      </c>
      <c r="I17" s="43" t="b">
        <v>0</v>
      </c>
      <c r="J17" s="44" t="b">
        <v>0</v>
      </c>
      <c r="K17" s="44" t="b">
        <v>0</v>
      </c>
      <c r="L17" s="44" t="b">
        <v>0</v>
      </c>
      <c r="M17" s="44" t="b">
        <v>0</v>
      </c>
      <c r="N17" s="44" t="b">
        <v>0</v>
      </c>
      <c r="O17" s="44" t="b">
        <v>0</v>
      </c>
      <c r="P17" s="44" t="b">
        <v>0</v>
      </c>
      <c r="Q17" s="43" t="b">
        <v>0</v>
      </c>
      <c r="R17" s="43" t="b">
        <v>0</v>
      </c>
      <c r="S17" s="43" t="b">
        <v>0</v>
      </c>
      <c r="T17" s="43" t="b">
        <v>0</v>
      </c>
      <c r="U17" s="43" t="b">
        <v>0</v>
      </c>
      <c r="V17" s="43" t="b">
        <v>0</v>
      </c>
      <c r="W17" s="43" t="b">
        <v>0</v>
      </c>
      <c r="X17" s="44" t="b">
        <v>0</v>
      </c>
      <c r="Y17" s="44" t="b">
        <v>0</v>
      </c>
      <c r="Z17" s="44" t="b">
        <v>0</v>
      </c>
      <c r="AA17" s="44" t="b">
        <v>0</v>
      </c>
      <c r="AB17" s="44" t="b">
        <v>0</v>
      </c>
      <c r="AC17" s="44" t="b">
        <v>0</v>
      </c>
      <c r="AD17" s="44" t="b">
        <v>0</v>
      </c>
      <c r="AE17" s="43" t="b">
        <v>0</v>
      </c>
      <c r="AF17" s="43" t="b">
        <v>0</v>
      </c>
      <c r="AG17" s="9"/>
      <c r="AH17" s="45">
        <f t="shared" si="1"/>
        <v>30</v>
      </c>
      <c r="AI17" s="46">
        <f t="shared" si="2"/>
        <v>0</v>
      </c>
      <c r="AJ17" s="29" t="str">
        <f>IFERROR(__xludf.DUMMYFUNCTION("SPARKLINE(AI17/AH17, {""charttype"",""bar"";""max"",1;""color1"",""#90EE90""})"),"")</f>
        <v/>
      </c>
      <c r="AK17" s="26"/>
      <c r="AL17" s="27"/>
      <c r="AM17" s="9"/>
    </row>
    <row r="18">
      <c r="B18" s="42"/>
      <c r="C18" s="43" t="b">
        <v>0</v>
      </c>
      <c r="D18" s="43" t="b">
        <v>0</v>
      </c>
      <c r="E18" s="43" t="b">
        <v>0</v>
      </c>
      <c r="F18" s="43" t="b">
        <v>0</v>
      </c>
      <c r="G18" s="43" t="b">
        <v>0</v>
      </c>
      <c r="H18" s="43" t="b">
        <v>0</v>
      </c>
      <c r="I18" s="43" t="b">
        <v>0</v>
      </c>
      <c r="J18" s="44" t="b">
        <v>0</v>
      </c>
      <c r="K18" s="44" t="b">
        <v>0</v>
      </c>
      <c r="L18" s="44" t="b">
        <v>0</v>
      </c>
      <c r="M18" s="44" t="b">
        <v>0</v>
      </c>
      <c r="N18" s="44" t="b">
        <v>0</v>
      </c>
      <c r="O18" s="44" t="b">
        <v>0</v>
      </c>
      <c r="P18" s="44" t="b">
        <v>0</v>
      </c>
      <c r="Q18" s="43" t="b">
        <v>0</v>
      </c>
      <c r="R18" s="43" t="b">
        <v>0</v>
      </c>
      <c r="S18" s="43" t="b">
        <v>0</v>
      </c>
      <c r="T18" s="43" t="b">
        <v>0</v>
      </c>
      <c r="U18" s="43" t="b">
        <v>0</v>
      </c>
      <c r="V18" s="43" t="b">
        <v>0</v>
      </c>
      <c r="W18" s="43" t="b">
        <v>0</v>
      </c>
      <c r="X18" s="44" t="b">
        <v>0</v>
      </c>
      <c r="Y18" s="44" t="b">
        <v>0</v>
      </c>
      <c r="Z18" s="44" t="b">
        <v>0</v>
      </c>
      <c r="AA18" s="44" t="b">
        <v>0</v>
      </c>
      <c r="AB18" s="44" t="b">
        <v>0</v>
      </c>
      <c r="AC18" s="44" t="b">
        <v>0</v>
      </c>
      <c r="AD18" s="44" t="b">
        <v>0</v>
      </c>
      <c r="AE18" s="43" t="b">
        <v>0</v>
      </c>
      <c r="AF18" s="43" t="b">
        <v>0</v>
      </c>
      <c r="AG18" s="9"/>
      <c r="AH18" s="45">
        <f t="shared" si="1"/>
        <v>30</v>
      </c>
      <c r="AI18" s="46">
        <f t="shared" si="2"/>
        <v>0</v>
      </c>
      <c r="AJ18" s="29" t="str">
        <f>IFERROR(__xludf.DUMMYFUNCTION("SPARKLINE(AI18/AH18, {""charttype"",""bar"";""max"",1;""color1"",""#90EE90""})"),"")</f>
        <v/>
      </c>
      <c r="AK18" s="26"/>
      <c r="AL18" s="27"/>
      <c r="AM18" s="9"/>
    </row>
    <row r="19">
      <c r="B19" s="42"/>
      <c r="C19" s="43" t="b">
        <v>0</v>
      </c>
      <c r="D19" s="43" t="b">
        <v>0</v>
      </c>
      <c r="E19" s="43" t="b">
        <v>0</v>
      </c>
      <c r="F19" s="43" t="b">
        <v>0</v>
      </c>
      <c r="G19" s="43" t="b">
        <v>0</v>
      </c>
      <c r="H19" s="43" t="b">
        <v>0</v>
      </c>
      <c r="I19" s="43" t="b">
        <v>0</v>
      </c>
      <c r="J19" s="44" t="b">
        <v>0</v>
      </c>
      <c r="K19" s="44" t="b">
        <v>0</v>
      </c>
      <c r="L19" s="44" t="b">
        <v>0</v>
      </c>
      <c r="M19" s="44" t="b">
        <v>0</v>
      </c>
      <c r="N19" s="44" t="b">
        <v>0</v>
      </c>
      <c r="O19" s="44" t="b">
        <v>0</v>
      </c>
      <c r="P19" s="44" t="b">
        <v>0</v>
      </c>
      <c r="Q19" s="43" t="b">
        <v>0</v>
      </c>
      <c r="R19" s="43" t="b">
        <v>0</v>
      </c>
      <c r="S19" s="43" t="b">
        <v>0</v>
      </c>
      <c r="T19" s="43" t="b">
        <v>0</v>
      </c>
      <c r="U19" s="43" t="b">
        <v>0</v>
      </c>
      <c r="V19" s="43" t="b">
        <v>0</v>
      </c>
      <c r="W19" s="43" t="b">
        <v>0</v>
      </c>
      <c r="X19" s="44" t="b">
        <v>0</v>
      </c>
      <c r="Y19" s="44" t="b">
        <v>0</v>
      </c>
      <c r="Z19" s="44" t="b">
        <v>0</v>
      </c>
      <c r="AA19" s="44" t="b">
        <v>0</v>
      </c>
      <c r="AB19" s="44" t="b">
        <v>0</v>
      </c>
      <c r="AC19" s="44" t="b">
        <v>0</v>
      </c>
      <c r="AD19" s="44" t="b">
        <v>0</v>
      </c>
      <c r="AE19" s="43" t="b">
        <v>0</v>
      </c>
      <c r="AF19" s="43" t="b">
        <v>0</v>
      </c>
      <c r="AG19" s="9"/>
      <c r="AH19" s="45">
        <f t="shared" si="1"/>
        <v>30</v>
      </c>
      <c r="AI19" s="46">
        <f t="shared" si="2"/>
        <v>0</v>
      </c>
      <c r="AJ19" s="29" t="str">
        <f>IFERROR(__xludf.DUMMYFUNCTION("SPARKLINE(AI19/AH19, {""charttype"",""bar"";""max"",1;""color1"",""#90EE90""})"),"")</f>
        <v/>
      </c>
      <c r="AK19" s="26"/>
      <c r="AL19" s="27"/>
      <c r="AM19" s="9"/>
    </row>
    <row r="20">
      <c r="B20" s="47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</row>
    <row r="21">
      <c r="B21" s="40" t="s">
        <v>11</v>
      </c>
      <c r="C21" s="49">
        <f t="shared" ref="C21:AF21" si="3">COUNTIF(C10:C19, TRUE)/COUNTA(C10:C19)</f>
        <v>0</v>
      </c>
      <c r="D21" s="49">
        <f t="shared" si="3"/>
        <v>0</v>
      </c>
      <c r="E21" s="49">
        <f t="shared" si="3"/>
        <v>0</v>
      </c>
      <c r="F21" s="49">
        <f t="shared" si="3"/>
        <v>0</v>
      </c>
      <c r="G21" s="49">
        <f t="shared" si="3"/>
        <v>0</v>
      </c>
      <c r="H21" s="49">
        <f t="shared" si="3"/>
        <v>0</v>
      </c>
      <c r="I21" s="49">
        <f t="shared" si="3"/>
        <v>0</v>
      </c>
      <c r="J21" s="49">
        <f t="shared" si="3"/>
        <v>0</v>
      </c>
      <c r="K21" s="49">
        <f t="shared" si="3"/>
        <v>0</v>
      </c>
      <c r="L21" s="49">
        <f t="shared" si="3"/>
        <v>0</v>
      </c>
      <c r="M21" s="49">
        <f t="shared" si="3"/>
        <v>0</v>
      </c>
      <c r="N21" s="49">
        <f t="shared" si="3"/>
        <v>0</v>
      </c>
      <c r="O21" s="49">
        <f t="shared" si="3"/>
        <v>0</v>
      </c>
      <c r="P21" s="49">
        <f t="shared" si="3"/>
        <v>0</v>
      </c>
      <c r="Q21" s="49">
        <f t="shared" si="3"/>
        <v>0</v>
      </c>
      <c r="R21" s="49">
        <f t="shared" si="3"/>
        <v>0</v>
      </c>
      <c r="S21" s="49">
        <f t="shared" si="3"/>
        <v>0</v>
      </c>
      <c r="T21" s="49">
        <f t="shared" si="3"/>
        <v>0</v>
      </c>
      <c r="U21" s="49">
        <f t="shared" si="3"/>
        <v>0</v>
      </c>
      <c r="V21" s="49">
        <f t="shared" si="3"/>
        <v>0</v>
      </c>
      <c r="W21" s="49">
        <f t="shared" si="3"/>
        <v>0</v>
      </c>
      <c r="X21" s="49">
        <f t="shared" si="3"/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B21" s="49">
        <f t="shared" si="3"/>
        <v>0</v>
      </c>
      <c r="AC21" s="49">
        <f t="shared" si="3"/>
        <v>0</v>
      </c>
      <c r="AD21" s="49">
        <f t="shared" si="3"/>
        <v>0</v>
      </c>
      <c r="AE21" s="49">
        <f t="shared" si="3"/>
        <v>0</v>
      </c>
      <c r="AF21" s="49">
        <f t="shared" si="3"/>
        <v>0</v>
      </c>
    </row>
    <row r="22">
      <c r="B22" s="40" t="s">
        <v>38</v>
      </c>
      <c r="C22" s="46">
        <f t="shared" ref="C22:AF22" si="4">COUNTIF(C10:C19, TRUE)</f>
        <v>0</v>
      </c>
      <c r="D22" s="46">
        <f t="shared" si="4"/>
        <v>0</v>
      </c>
      <c r="E22" s="46">
        <f t="shared" si="4"/>
        <v>0</v>
      </c>
      <c r="F22" s="46">
        <f t="shared" si="4"/>
        <v>0</v>
      </c>
      <c r="G22" s="46">
        <f t="shared" si="4"/>
        <v>0</v>
      </c>
      <c r="H22" s="46">
        <f t="shared" si="4"/>
        <v>0</v>
      </c>
      <c r="I22" s="46">
        <f t="shared" si="4"/>
        <v>0</v>
      </c>
      <c r="J22" s="46">
        <f t="shared" si="4"/>
        <v>0</v>
      </c>
      <c r="K22" s="46">
        <f t="shared" si="4"/>
        <v>0</v>
      </c>
      <c r="L22" s="46">
        <f t="shared" si="4"/>
        <v>0</v>
      </c>
      <c r="M22" s="46">
        <f t="shared" si="4"/>
        <v>0</v>
      </c>
      <c r="N22" s="46">
        <f t="shared" si="4"/>
        <v>0</v>
      </c>
      <c r="O22" s="46">
        <f t="shared" si="4"/>
        <v>0</v>
      </c>
      <c r="P22" s="46">
        <f t="shared" si="4"/>
        <v>0</v>
      </c>
      <c r="Q22" s="46">
        <f t="shared" si="4"/>
        <v>0</v>
      </c>
      <c r="R22" s="46">
        <f t="shared" si="4"/>
        <v>0</v>
      </c>
      <c r="S22" s="46">
        <f t="shared" si="4"/>
        <v>0</v>
      </c>
      <c r="T22" s="46">
        <f t="shared" si="4"/>
        <v>0</v>
      </c>
      <c r="U22" s="46">
        <f t="shared" si="4"/>
        <v>0</v>
      </c>
      <c r="V22" s="46">
        <f t="shared" si="4"/>
        <v>0</v>
      </c>
      <c r="W22" s="46">
        <f t="shared" si="4"/>
        <v>0</v>
      </c>
      <c r="X22" s="46">
        <f t="shared" si="4"/>
        <v>0</v>
      </c>
      <c r="Y22" s="46">
        <f t="shared" si="4"/>
        <v>0</v>
      </c>
      <c r="Z22" s="46">
        <f t="shared" si="4"/>
        <v>0</v>
      </c>
      <c r="AA22" s="46">
        <f t="shared" si="4"/>
        <v>0</v>
      </c>
      <c r="AB22" s="46">
        <f t="shared" si="4"/>
        <v>0</v>
      </c>
      <c r="AC22" s="46">
        <f t="shared" si="4"/>
        <v>0</v>
      </c>
      <c r="AD22" s="46">
        <f t="shared" si="4"/>
        <v>0</v>
      </c>
      <c r="AE22" s="46">
        <f t="shared" si="4"/>
        <v>0</v>
      </c>
      <c r="AF22" s="46">
        <f t="shared" si="4"/>
        <v>0</v>
      </c>
    </row>
    <row r="23">
      <c r="B23" s="40" t="s">
        <v>39</v>
      </c>
      <c r="C23" s="46">
        <f t="shared" ref="C23:AF23" si="5">COUNTIF(C10:C19, FALSE)</f>
        <v>10</v>
      </c>
      <c r="D23" s="46">
        <f t="shared" si="5"/>
        <v>10</v>
      </c>
      <c r="E23" s="46">
        <f t="shared" si="5"/>
        <v>10</v>
      </c>
      <c r="F23" s="46">
        <f t="shared" si="5"/>
        <v>10</v>
      </c>
      <c r="G23" s="46">
        <f t="shared" si="5"/>
        <v>10</v>
      </c>
      <c r="H23" s="46">
        <f t="shared" si="5"/>
        <v>10</v>
      </c>
      <c r="I23" s="46">
        <f t="shared" si="5"/>
        <v>10</v>
      </c>
      <c r="J23" s="46">
        <f t="shared" si="5"/>
        <v>10</v>
      </c>
      <c r="K23" s="46">
        <f t="shared" si="5"/>
        <v>10</v>
      </c>
      <c r="L23" s="46">
        <f t="shared" si="5"/>
        <v>10</v>
      </c>
      <c r="M23" s="46">
        <f t="shared" si="5"/>
        <v>10</v>
      </c>
      <c r="N23" s="46">
        <f t="shared" si="5"/>
        <v>10</v>
      </c>
      <c r="O23" s="46">
        <f t="shared" si="5"/>
        <v>10</v>
      </c>
      <c r="P23" s="46">
        <f t="shared" si="5"/>
        <v>10</v>
      </c>
      <c r="Q23" s="46">
        <f t="shared" si="5"/>
        <v>10</v>
      </c>
      <c r="R23" s="46">
        <f t="shared" si="5"/>
        <v>10</v>
      </c>
      <c r="S23" s="46">
        <f t="shared" si="5"/>
        <v>10</v>
      </c>
      <c r="T23" s="46">
        <f t="shared" si="5"/>
        <v>10</v>
      </c>
      <c r="U23" s="46">
        <f t="shared" si="5"/>
        <v>10</v>
      </c>
      <c r="V23" s="46">
        <f t="shared" si="5"/>
        <v>10</v>
      </c>
      <c r="W23" s="46">
        <f t="shared" si="5"/>
        <v>10</v>
      </c>
      <c r="X23" s="46">
        <f t="shared" si="5"/>
        <v>10</v>
      </c>
      <c r="Y23" s="46">
        <f t="shared" si="5"/>
        <v>10</v>
      </c>
      <c r="Z23" s="46">
        <f t="shared" si="5"/>
        <v>10</v>
      </c>
      <c r="AA23" s="46">
        <f t="shared" si="5"/>
        <v>10</v>
      </c>
      <c r="AB23" s="46">
        <f t="shared" si="5"/>
        <v>10</v>
      </c>
      <c r="AC23" s="46">
        <f t="shared" si="5"/>
        <v>10</v>
      </c>
      <c r="AD23" s="46">
        <f t="shared" si="5"/>
        <v>10</v>
      </c>
      <c r="AE23" s="46">
        <f t="shared" si="5"/>
        <v>10</v>
      </c>
      <c r="AF23" s="46">
        <f t="shared" si="5"/>
        <v>10</v>
      </c>
    </row>
    <row r="33">
      <c r="B33" s="50"/>
      <c r="C33" s="41" t="s">
        <v>40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>
      <c r="B34" s="40" t="s">
        <v>41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</row>
    <row r="35">
      <c r="B35" s="40" t="s">
        <v>42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</row>
    <row r="36">
      <c r="C36" s="53">
        <f t="shared" ref="C36:AF36" si="6">(C35+C34)/20</f>
        <v>0</v>
      </c>
      <c r="D36" s="53">
        <f t="shared" si="6"/>
        <v>0</v>
      </c>
      <c r="E36" s="53">
        <f t="shared" si="6"/>
        <v>0</v>
      </c>
      <c r="F36" s="53">
        <f t="shared" si="6"/>
        <v>0</v>
      </c>
      <c r="G36" s="53">
        <f t="shared" si="6"/>
        <v>0</v>
      </c>
      <c r="H36" s="53">
        <f t="shared" si="6"/>
        <v>0</v>
      </c>
      <c r="I36" s="53">
        <f t="shared" si="6"/>
        <v>0</v>
      </c>
      <c r="J36" s="53">
        <f t="shared" si="6"/>
        <v>0</v>
      </c>
      <c r="K36" s="53">
        <f t="shared" si="6"/>
        <v>0</v>
      </c>
      <c r="L36" s="53">
        <f t="shared" si="6"/>
        <v>0</v>
      </c>
      <c r="M36" s="53">
        <f t="shared" si="6"/>
        <v>0</v>
      </c>
      <c r="N36" s="53">
        <f t="shared" si="6"/>
        <v>0</v>
      </c>
      <c r="O36" s="53">
        <f t="shared" si="6"/>
        <v>0</v>
      </c>
      <c r="P36" s="53">
        <f t="shared" si="6"/>
        <v>0</v>
      </c>
      <c r="Q36" s="53">
        <f t="shared" si="6"/>
        <v>0</v>
      </c>
      <c r="R36" s="53">
        <f t="shared" si="6"/>
        <v>0</v>
      </c>
      <c r="S36" s="53">
        <f t="shared" si="6"/>
        <v>0</v>
      </c>
      <c r="T36" s="53">
        <f t="shared" si="6"/>
        <v>0</v>
      </c>
      <c r="U36" s="53">
        <f t="shared" si="6"/>
        <v>0</v>
      </c>
      <c r="V36" s="53">
        <f t="shared" si="6"/>
        <v>0</v>
      </c>
      <c r="W36" s="53">
        <f t="shared" si="6"/>
        <v>0</v>
      </c>
      <c r="X36" s="53">
        <f t="shared" si="6"/>
        <v>0</v>
      </c>
      <c r="Y36" s="53">
        <f t="shared" si="6"/>
        <v>0</v>
      </c>
      <c r="Z36" s="53">
        <f t="shared" si="6"/>
        <v>0</v>
      </c>
      <c r="AA36" s="53">
        <f t="shared" si="6"/>
        <v>0</v>
      </c>
      <c r="AB36" s="53">
        <f t="shared" si="6"/>
        <v>0</v>
      </c>
      <c r="AC36" s="53">
        <f t="shared" si="6"/>
        <v>0</v>
      </c>
      <c r="AD36" s="53">
        <f t="shared" si="6"/>
        <v>0</v>
      </c>
      <c r="AE36" s="53">
        <f t="shared" si="6"/>
        <v>0</v>
      </c>
      <c r="AF36" s="53">
        <f t="shared" si="6"/>
        <v>0</v>
      </c>
    </row>
  </sheetData>
  <mergeCells count="28">
    <mergeCell ref="AB3:AD3"/>
    <mergeCell ref="AB4:AD4"/>
    <mergeCell ref="B3:H4"/>
    <mergeCell ref="J3:N3"/>
    <mergeCell ref="P3:T3"/>
    <mergeCell ref="V3:Z3"/>
    <mergeCell ref="J4:N4"/>
    <mergeCell ref="P4:T4"/>
    <mergeCell ref="V4:Z4"/>
    <mergeCell ref="B7:B9"/>
    <mergeCell ref="C7:I7"/>
    <mergeCell ref="J7:P7"/>
    <mergeCell ref="Q7:W7"/>
    <mergeCell ref="X7:AD7"/>
    <mergeCell ref="AE7:AF7"/>
    <mergeCell ref="AH7:AL8"/>
    <mergeCell ref="AJ16:AL16"/>
    <mergeCell ref="AJ17:AL17"/>
    <mergeCell ref="AJ18:AL18"/>
    <mergeCell ref="AJ19:AL19"/>
    <mergeCell ref="C33:AF33"/>
    <mergeCell ref="AJ9:AL9"/>
    <mergeCell ref="AJ10:AL10"/>
    <mergeCell ref="AJ11:AL11"/>
    <mergeCell ref="AJ12:AL12"/>
    <mergeCell ref="AJ13:AL13"/>
    <mergeCell ref="AJ14:AL14"/>
    <mergeCell ref="AJ15:AL15"/>
  </mergeCells>
  <dataValidations>
    <dataValidation type="list" allowBlank="1" showErrorMessage="1" sqref="C34:AF35">
      <formula1>"10,9,8,7,6,5,4,3,2,1,0"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23.25"/>
    <col customWidth="1" min="3" max="34" width="4.13"/>
    <col customWidth="1" min="35" max="35" width="10.0"/>
    <col customWidth="1" min="36" max="36" width="8.0"/>
    <col customWidth="1" min="37" max="40" width="4.13"/>
  </cols>
  <sheetData>
    <row r="2">
      <c r="B2" s="64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6"/>
      <c r="AN2" s="9"/>
    </row>
    <row r="3">
      <c r="B3" s="10" t="s">
        <v>67</v>
      </c>
      <c r="I3" s="67"/>
      <c r="J3" s="68" t="s">
        <v>70</v>
      </c>
      <c r="O3" s="69"/>
      <c r="P3" s="68" t="s">
        <v>10</v>
      </c>
      <c r="U3" s="69"/>
      <c r="V3" s="68" t="s">
        <v>11</v>
      </c>
      <c r="AA3" s="69"/>
      <c r="AB3" s="68" t="s">
        <v>12</v>
      </c>
      <c r="AE3" s="12"/>
      <c r="AF3" s="12"/>
      <c r="AG3" s="12"/>
      <c r="AH3" s="70"/>
      <c r="AI3" s="71"/>
      <c r="AJ3" s="71"/>
      <c r="AK3" s="71"/>
      <c r="AL3" s="71"/>
      <c r="AM3" s="72"/>
      <c r="AN3" s="9"/>
    </row>
    <row r="4">
      <c r="B4" s="17"/>
      <c r="I4" s="67"/>
      <c r="J4" s="71">
        <f>COUNTA($B$10:$B$19)</f>
        <v>0</v>
      </c>
      <c r="O4" s="70"/>
      <c r="P4" s="71">
        <f>COUNTIF($C$10:$AF$19, TRUE)</f>
        <v>0</v>
      </c>
      <c r="U4" s="70"/>
      <c r="V4" s="73" t="str">
        <f>IFERROR(__xludf.DUMMYFUNCTION("SPARKLINE(AB4, {""charttype"",""bar"";""max"",1;""color1"",""#90EE90""})"),"")</f>
        <v/>
      </c>
      <c r="AA4" s="70"/>
      <c r="AB4" s="74">
        <f>(P4)/(COUNTA($C$10:$C$19)*COUNTA($C$10:$AG$10))</f>
        <v>0</v>
      </c>
      <c r="AE4" s="74"/>
      <c r="AF4" s="74"/>
      <c r="AG4" s="74"/>
      <c r="AH4" s="70"/>
      <c r="AI4" s="71"/>
      <c r="AJ4" s="71"/>
      <c r="AK4" s="71"/>
      <c r="AL4" s="71"/>
      <c r="AM4" s="72"/>
      <c r="AN4" s="9"/>
    </row>
    <row r="5">
      <c r="B5" s="75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7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8"/>
      <c r="AN5" s="9"/>
    </row>
    <row r="6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>
      <c r="B7" s="24" t="s">
        <v>13</v>
      </c>
      <c r="C7" s="25" t="s">
        <v>14</v>
      </c>
      <c r="D7" s="26"/>
      <c r="E7" s="26"/>
      <c r="F7" s="26"/>
      <c r="G7" s="26"/>
      <c r="H7" s="26"/>
      <c r="I7" s="27"/>
      <c r="J7" s="28" t="s">
        <v>15</v>
      </c>
      <c r="K7" s="26"/>
      <c r="L7" s="26"/>
      <c r="M7" s="26"/>
      <c r="N7" s="26"/>
      <c r="O7" s="26"/>
      <c r="P7" s="27"/>
      <c r="Q7" s="25" t="s">
        <v>16</v>
      </c>
      <c r="R7" s="26"/>
      <c r="S7" s="26"/>
      <c r="T7" s="26"/>
      <c r="U7" s="26"/>
      <c r="V7" s="26"/>
      <c r="W7" s="27"/>
      <c r="X7" s="28" t="s">
        <v>17</v>
      </c>
      <c r="Y7" s="26"/>
      <c r="Z7" s="26"/>
      <c r="AA7" s="26"/>
      <c r="AB7" s="26"/>
      <c r="AC7" s="26"/>
      <c r="AD7" s="27"/>
      <c r="AE7" s="29"/>
      <c r="AF7" s="27"/>
      <c r="AG7" s="79"/>
      <c r="AH7" s="9"/>
      <c r="AI7" s="30" t="s">
        <v>18</v>
      </c>
      <c r="AJ7" s="31"/>
      <c r="AK7" s="31"/>
      <c r="AL7" s="31"/>
      <c r="AM7" s="32"/>
    </row>
    <row r="8">
      <c r="B8" s="33"/>
      <c r="C8" s="34" t="s">
        <v>24</v>
      </c>
      <c r="D8" s="34" t="s">
        <v>25</v>
      </c>
      <c r="E8" s="34" t="s">
        <v>19</v>
      </c>
      <c r="F8" s="34" t="s">
        <v>20</v>
      </c>
      <c r="G8" s="34" t="s">
        <v>21</v>
      </c>
      <c r="H8" s="34" t="s">
        <v>22</v>
      </c>
      <c r="I8" s="34" t="s">
        <v>23</v>
      </c>
      <c r="J8" s="35" t="s">
        <v>24</v>
      </c>
      <c r="K8" s="35" t="s">
        <v>25</v>
      </c>
      <c r="L8" s="35" t="s">
        <v>19</v>
      </c>
      <c r="M8" s="35" t="s">
        <v>20</v>
      </c>
      <c r="N8" s="35" t="s">
        <v>21</v>
      </c>
      <c r="O8" s="35" t="s">
        <v>22</v>
      </c>
      <c r="P8" s="35" t="s">
        <v>23</v>
      </c>
      <c r="Q8" s="34" t="s">
        <v>24</v>
      </c>
      <c r="R8" s="34" t="s">
        <v>25</v>
      </c>
      <c r="S8" s="34" t="s">
        <v>19</v>
      </c>
      <c r="T8" s="34" t="s">
        <v>20</v>
      </c>
      <c r="U8" s="34" t="s">
        <v>21</v>
      </c>
      <c r="V8" s="34" t="s">
        <v>22</v>
      </c>
      <c r="W8" s="34" t="s">
        <v>23</v>
      </c>
      <c r="X8" s="35" t="s">
        <v>24</v>
      </c>
      <c r="Y8" s="35" t="s">
        <v>25</v>
      </c>
      <c r="Z8" s="35" t="s">
        <v>19</v>
      </c>
      <c r="AA8" s="35" t="s">
        <v>20</v>
      </c>
      <c r="AB8" s="35" t="s">
        <v>21</v>
      </c>
      <c r="AC8" s="35" t="s">
        <v>22</v>
      </c>
      <c r="AD8" s="35" t="s">
        <v>23</v>
      </c>
      <c r="AE8" s="80" t="s">
        <v>24</v>
      </c>
      <c r="AF8" s="80" t="s">
        <v>25</v>
      </c>
      <c r="AG8" s="34" t="s">
        <v>19</v>
      </c>
      <c r="AH8" s="9"/>
      <c r="AI8" s="36"/>
      <c r="AJ8" s="37"/>
      <c r="AK8" s="37"/>
      <c r="AL8" s="37"/>
      <c r="AM8" s="38"/>
    </row>
    <row r="9">
      <c r="B9" s="39"/>
      <c r="C9" s="34">
        <v>1.0</v>
      </c>
      <c r="D9" s="34">
        <v>2.0</v>
      </c>
      <c r="E9" s="34">
        <v>3.0</v>
      </c>
      <c r="F9" s="34">
        <v>4.0</v>
      </c>
      <c r="G9" s="34">
        <v>5.0</v>
      </c>
      <c r="H9" s="34">
        <v>6.0</v>
      </c>
      <c r="I9" s="34">
        <v>7.0</v>
      </c>
      <c r="J9" s="35">
        <v>8.0</v>
      </c>
      <c r="K9" s="35">
        <v>9.0</v>
      </c>
      <c r="L9" s="35">
        <v>10.0</v>
      </c>
      <c r="M9" s="35">
        <v>11.0</v>
      </c>
      <c r="N9" s="35">
        <v>12.0</v>
      </c>
      <c r="O9" s="35">
        <v>13.0</v>
      </c>
      <c r="P9" s="35">
        <v>14.0</v>
      </c>
      <c r="Q9" s="34">
        <v>15.0</v>
      </c>
      <c r="R9" s="34">
        <v>16.0</v>
      </c>
      <c r="S9" s="34">
        <v>17.0</v>
      </c>
      <c r="T9" s="34">
        <v>18.0</v>
      </c>
      <c r="U9" s="34">
        <v>19.0</v>
      </c>
      <c r="V9" s="34">
        <v>20.0</v>
      </c>
      <c r="W9" s="34">
        <v>21.0</v>
      </c>
      <c r="X9" s="35">
        <v>22.0</v>
      </c>
      <c r="Y9" s="35">
        <v>23.0</v>
      </c>
      <c r="Z9" s="35">
        <v>24.0</v>
      </c>
      <c r="AA9" s="35">
        <v>25.0</v>
      </c>
      <c r="AB9" s="35">
        <v>26.0</v>
      </c>
      <c r="AC9" s="35">
        <v>27.0</v>
      </c>
      <c r="AD9" s="35">
        <v>28.0</v>
      </c>
      <c r="AE9" s="34">
        <v>29.0</v>
      </c>
      <c r="AF9" s="25">
        <v>30.0</v>
      </c>
      <c r="AG9" s="81">
        <v>31.0</v>
      </c>
      <c r="AH9" s="9"/>
      <c r="AI9" s="40" t="s">
        <v>26</v>
      </c>
      <c r="AJ9" s="40" t="s">
        <v>27</v>
      </c>
      <c r="AK9" s="41" t="s">
        <v>11</v>
      </c>
      <c r="AL9" s="26"/>
      <c r="AM9" s="27"/>
    </row>
    <row r="10">
      <c r="B10" s="42"/>
      <c r="C10" s="43" t="b">
        <v>0</v>
      </c>
      <c r="D10" s="43" t="b">
        <v>0</v>
      </c>
      <c r="E10" s="43" t="b">
        <v>0</v>
      </c>
      <c r="F10" s="43" t="b">
        <v>0</v>
      </c>
      <c r="G10" s="43" t="b">
        <v>0</v>
      </c>
      <c r="H10" s="43" t="b">
        <v>0</v>
      </c>
      <c r="I10" s="43" t="b">
        <v>0</v>
      </c>
      <c r="J10" s="44" t="b">
        <v>0</v>
      </c>
      <c r="K10" s="44" t="b">
        <v>0</v>
      </c>
      <c r="L10" s="44" t="b">
        <v>0</v>
      </c>
      <c r="M10" s="44" t="b">
        <v>0</v>
      </c>
      <c r="N10" s="44" t="b">
        <v>0</v>
      </c>
      <c r="O10" s="44" t="b">
        <v>0</v>
      </c>
      <c r="P10" s="44" t="b">
        <v>0</v>
      </c>
      <c r="Q10" s="43" t="b">
        <v>0</v>
      </c>
      <c r="R10" s="43" t="b">
        <v>0</v>
      </c>
      <c r="S10" s="43" t="b">
        <v>0</v>
      </c>
      <c r="T10" s="43" t="b">
        <v>0</v>
      </c>
      <c r="U10" s="43" t="b">
        <v>0</v>
      </c>
      <c r="V10" s="43" t="b">
        <v>0</v>
      </c>
      <c r="W10" s="43" t="b">
        <v>0</v>
      </c>
      <c r="X10" s="44" t="b">
        <v>0</v>
      </c>
      <c r="Y10" s="44" t="b">
        <v>0</v>
      </c>
      <c r="Z10" s="44" t="b">
        <v>0</v>
      </c>
      <c r="AA10" s="44" t="b">
        <v>0</v>
      </c>
      <c r="AB10" s="44" t="b">
        <v>0</v>
      </c>
      <c r="AC10" s="44" t="b">
        <v>0</v>
      </c>
      <c r="AD10" s="44" t="b">
        <v>0</v>
      </c>
      <c r="AE10" s="43" t="b">
        <v>0</v>
      </c>
      <c r="AF10" s="43" t="b">
        <v>0</v>
      </c>
      <c r="AG10" s="43" t="b">
        <v>0</v>
      </c>
      <c r="AH10" s="9"/>
      <c r="AI10" s="45">
        <f t="shared" ref="AI10:AI19" si="1">31</f>
        <v>31</v>
      </c>
      <c r="AJ10" s="46">
        <f t="shared" ref="AJ10:AJ19" si="2">COUNTIF(C10:AG10, TRUE)</f>
        <v>0</v>
      </c>
      <c r="AK10" s="29" t="str">
        <f>IFERROR(__xludf.DUMMYFUNCTION("SPARKLINE(AJ10/AI10, {""charttype"",""bar"";""max"",1;""color1"",""#90EE90""})"),"")</f>
        <v/>
      </c>
      <c r="AL10" s="26"/>
      <c r="AM10" s="27"/>
      <c r="AN10" s="9"/>
    </row>
    <row r="11">
      <c r="B11" s="42"/>
      <c r="C11" s="43" t="b">
        <v>0</v>
      </c>
      <c r="D11" s="43" t="b">
        <v>0</v>
      </c>
      <c r="E11" s="43" t="b">
        <v>0</v>
      </c>
      <c r="F11" s="43" t="b">
        <v>0</v>
      </c>
      <c r="G11" s="43" t="b">
        <v>0</v>
      </c>
      <c r="H11" s="43" t="b">
        <v>0</v>
      </c>
      <c r="I11" s="43" t="b">
        <v>0</v>
      </c>
      <c r="J11" s="44" t="b">
        <v>0</v>
      </c>
      <c r="K11" s="44" t="b">
        <v>0</v>
      </c>
      <c r="L11" s="44" t="b">
        <v>0</v>
      </c>
      <c r="M11" s="44" t="b">
        <v>0</v>
      </c>
      <c r="N11" s="44" t="b">
        <v>0</v>
      </c>
      <c r="O11" s="44" t="b">
        <v>0</v>
      </c>
      <c r="P11" s="44" t="b">
        <v>0</v>
      </c>
      <c r="Q11" s="43" t="b">
        <v>0</v>
      </c>
      <c r="R11" s="43" t="b">
        <v>0</v>
      </c>
      <c r="S11" s="43" t="b">
        <v>0</v>
      </c>
      <c r="T11" s="43" t="b">
        <v>0</v>
      </c>
      <c r="U11" s="43" t="b">
        <v>0</v>
      </c>
      <c r="V11" s="43" t="b">
        <v>0</v>
      </c>
      <c r="W11" s="43" t="b">
        <v>0</v>
      </c>
      <c r="X11" s="44" t="b">
        <v>0</v>
      </c>
      <c r="Y11" s="44" t="b">
        <v>0</v>
      </c>
      <c r="Z11" s="44" t="b">
        <v>0</v>
      </c>
      <c r="AA11" s="44" t="b">
        <v>0</v>
      </c>
      <c r="AB11" s="44" t="b">
        <v>0</v>
      </c>
      <c r="AC11" s="44" t="b">
        <v>0</v>
      </c>
      <c r="AD11" s="44" t="b">
        <v>0</v>
      </c>
      <c r="AE11" s="43" t="b">
        <v>0</v>
      </c>
      <c r="AF11" s="43" t="b">
        <v>0</v>
      </c>
      <c r="AG11" s="43" t="b">
        <v>0</v>
      </c>
      <c r="AH11" s="9"/>
      <c r="AI11" s="45">
        <f t="shared" si="1"/>
        <v>31</v>
      </c>
      <c r="AJ11" s="46">
        <f t="shared" si="2"/>
        <v>0</v>
      </c>
      <c r="AK11" s="29" t="str">
        <f>IFERROR(__xludf.DUMMYFUNCTION("SPARKLINE(AJ11/AI11, {""charttype"",""bar"";""max"",1;""color1"",""#90EE90""})"),"")</f>
        <v/>
      </c>
      <c r="AL11" s="26"/>
      <c r="AM11" s="27"/>
      <c r="AN11" s="9"/>
    </row>
    <row r="12">
      <c r="B12" s="42"/>
      <c r="C12" s="43" t="b">
        <v>0</v>
      </c>
      <c r="D12" s="43" t="b">
        <v>0</v>
      </c>
      <c r="E12" s="43" t="b">
        <v>0</v>
      </c>
      <c r="F12" s="43" t="b">
        <v>0</v>
      </c>
      <c r="G12" s="43" t="b">
        <v>0</v>
      </c>
      <c r="H12" s="43" t="b">
        <v>0</v>
      </c>
      <c r="I12" s="43" t="b">
        <v>0</v>
      </c>
      <c r="J12" s="44" t="b">
        <v>0</v>
      </c>
      <c r="K12" s="44" t="b">
        <v>0</v>
      </c>
      <c r="L12" s="44" t="b">
        <v>0</v>
      </c>
      <c r="M12" s="44" t="b">
        <v>0</v>
      </c>
      <c r="N12" s="44" t="b">
        <v>0</v>
      </c>
      <c r="O12" s="44" t="b">
        <v>0</v>
      </c>
      <c r="P12" s="44" t="b">
        <v>0</v>
      </c>
      <c r="Q12" s="43" t="b">
        <v>0</v>
      </c>
      <c r="R12" s="43" t="b">
        <v>0</v>
      </c>
      <c r="S12" s="43" t="b">
        <v>0</v>
      </c>
      <c r="T12" s="43" t="b">
        <v>0</v>
      </c>
      <c r="U12" s="43" t="b">
        <v>0</v>
      </c>
      <c r="V12" s="43" t="b">
        <v>0</v>
      </c>
      <c r="W12" s="43" t="b">
        <v>0</v>
      </c>
      <c r="X12" s="44" t="b">
        <v>0</v>
      </c>
      <c r="Y12" s="44" t="b">
        <v>0</v>
      </c>
      <c r="Z12" s="44" t="b">
        <v>0</v>
      </c>
      <c r="AA12" s="44" t="b">
        <v>0</v>
      </c>
      <c r="AB12" s="44" t="b">
        <v>0</v>
      </c>
      <c r="AC12" s="44" t="b">
        <v>0</v>
      </c>
      <c r="AD12" s="44" t="b">
        <v>0</v>
      </c>
      <c r="AE12" s="43" t="b">
        <v>0</v>
      </c>
      <c r="AF12" s="43" t="b">
        <v>0</v>
      </c>
      <c r="AG12" s="43" t="b">
        <v>0</v>
      </c>
      <c r="AH12" s="9"/>
      <c r="AI12" s="45">
        <f t="shared" si="1"/>
        <v>31</v>
      </c>
      <c r="AJ12" s="46">
        <f t="shared" si="2"/>
        <v>0</v>
      </c>
      <c r="AK12" s="29" t="str">
        <f>IFERROR(__xludf.DUMMYFUNCTION("SPARKLINE(AJ12/AI12, {""charttype"",""bar"";""max"",1;""color1"",""#90EE90""})"),"")</f>
        <v/>
      </c>
      <c r="AL12" s="26"/>
      <c r="AM12" s="27"/>
      <c r="AN12" s="9"/>
    </row>
    <row r="13">
      <c r="B13" s="42"/>
      <c r="C13" s="43" t="b">
        <v>0</v>
      </c>
      <c r="D13" s="43" t="b">
        <v>0</v>
      </c>
      <c r="E13" s="43" t="b">
        <v>0</v>
      </c>
      <c r="F13" s="43" t="b">
        <v>0</v>
      </c>
      <c r="G13" s="43" t="b">
        <v>0</v>
      </c>
      <c r="H13" s="43" t="b">
        <v>0</v>
      </c>
      <c r="I13" s="43" t="b">
        <v>0</v>
      </c>
      <c r="J13" s="44" t="b">
        <v>0</v>
      </c>
      <c r="K13" s="44" t="b">
        <v>0</v>
      </c>
      <c r="L13" s="44" t="b">
        <v>0</v>
      </c>
      <c r="M13" s="44" t="b">
        <v>0</v>
      </c>
      <c r="N13" s="44" t="b">
        <v>0</v>
      </c>
      <c r="O13" s="44" t="b">
        <v>0</v>
      </c>
      <c r="P13" s="44" t="b">
        <v>0</v>
      </c>
      <c r="Q13" s="43" t="b">
        <v>0</v>
      </c>
      <c r="R13" s="43" t="b">
        <v>0</v>
      </c>
      <c r="S13" s="43" t="b">
        <v>0</v>
      </c>
      <c r="T13" s="43" t="b">
        <v>0</v>
      </c>
      <c r="U13" s="43" t="b">
        <v>0</v>
      </c>
      <c r="V13" s="43" t="b">
        <v>0</v>
      </c>
      <c r="W13" s="43" t="b">
        <v>0</v>
      </c>
      <c r="X13" s="44" t="b">
        <v>0</v>
      </c>
      <c r="Y13" s="44" t="b">
        <v>0</v>
      </c>
      <c r="Z13" s="44" t="b">
        <v>0</v>
      </c>
      <c r="AA13" s="44" t="b">
        <v>0</v>
      </c>
      <c r="AB13" s="44" t="b">
        <v>0</v>
      </c>
      <c r="AC13" s="44" t="b">
        <v>0</v>
      </c>
      <c r="AD13" s="44" t="b">
        <v>0</v>
      </c>
      <c r="AE13" s="43" t="b">
        <v>0</v>
      </c>
      <c r="AF13" s="43" t="b">
        <v>0</v>
      </c>
      <c r="AG13" s="43" t="b">
        <v>0</v>
      </c>
      <c r="AH13" s="9"/>
      <c r="AI13" s="45">
        <f t="shared" si="1"/>
        <v>31</v>
      </c>
      <c r="AJ13" s="46">
        <f t="shared" si="2"/>
        <v>0</v>
      </c>
      <c r="AK13" s="29" t="str">
        <f>IFERROR(__xludf.DUMMYFUNCTION("SPARKLINE(AJ13/AI13, {""charttype"",""bar"";""max"",1;""color1"",""#90EE90""})"),"")</f>
        <v/>
      </c>
      <c r="AL13" s="26"/>
      <c r="AM13" s="27"/>
      <c r="AN13" s="9"/>
    </row>
    <row r="14">
      <c r="B14" s="42"/>
      <c r="C14" s="43" t="b">
        <v>0</v>
      </c>
      <c r="D14" s="43" t="b">
        <v>0</v>
      </c>
      <c r="E14" s="43" t="b">
        <v>0</v>
      </c>
      <c r="F14" s="43" t="b">
        <v>0</v>
      </c>
      <c r="G14" s="43" t="b">
        <v>0</v>
      </c>
      <c r="H14" s="43" t="b">
        <v>0</v>
      </c>
      <c r="I14" s="43" t="b">
        <v>0</v>
      </c>
      <c r="J14" s="44" t="b">
        <v>0</v>
      </c>
      <c r="K14" s="44" t="b">
        <v>0</v>
      </c>
      <c r="L14" s="44" t="b">
        <v>0</v>
      </c>
      <c r="M14" s="44" t="b">
        <v>0</v>
      </c>
      <c r="N14" s="44" t="b">
        <v>0</v>
      </c>
      <c r="O14" s="44" t="b">
        <v>0</v>
      </c>
      <c r="P14" s="44" t="b">
        <v>0</v>
      </c>
      <c r="Q14" s="43" t="b">
        <v>0</v>
      </c>
      <c r="R14" s="43" t="b">
        <v>0</v>
      </c>
      <c r="S14" s="43" t="b">
        <v>0</v>
      </c>
      <c r="T14" s="43" t="b">
        <v>0</v>
      </c>
      <c r="U14" s="43" t="b">
        <v>0</v>
      </c>
      <c r="V14" s="43" t="b">
        <v>0</v>
      </c>
      <c r="W14" s="43" t="b">
        <v>0</v>
      </c>
      <c r="X14" s="44" t="b">
        <v>0</v>
      </c>
      <c r="Y14" s="44" t="b">
        <v>0</v>
      </c>
      <c r="Z14" s="44" t="b">
        <v>0</v>
      </c>
      <c r="AA14" s="44" t="b">
        <v>0</v>
      </c>
      <c r="AB14" s="44" t="b">
        <v>0</v>
      </c>
      <c r="AC14" s="44" t="b">
        <v>0</v>
      </c>
      <c r="AD14" s="44" t="b">
        <v>0</v>
      </c>
      <c r="AE14" s="43" t="b">
        <v>0</v>
      </c>
      <c r="AF14" s="43" t="b">
        <v>0</v>
      </c>
      <c r="AG14" s="43" t="b">
        <v>0</v>
      </c>
      <c r="AH14" s="9"/>
      <c r="AI14" s="45">
        <f t="shared" si="1"/>
        <v>31</v>
      </c>
      <c r="AJ14" s="46">
        <f t="shared" si="2"/>
        <v>0</v>
      </c>
      <c r="AK14" s="29" t="str">
        <f>IFERROR(__xludf.DUMMYFUNCTION("SPARKLINE(AJ14/AI14, {""charttype"",""bar"";""max"",1;""color1"",""#90EE90""})"),"")</f>
        <v/>
      </c>
      <c r="AL14" s="26"/>
      <c r="AM14" s="27"/>
      <c r="AN14" s="9"/>
    </row>
    <row r="15">
      <c r="B15" s="42"/>
      <c r="C15" s="43" t="b">
        <v>0</v>
      </c>
      <c r="D15" s="43" t="b">
        <v>0</v>
      </c>
      <c r="E15" s="43" t="b">
        <v>0</v>
      </c>
      <c r="F15" s="43" t="b">
        <v>0</v>
      </c>
      <c r="G15" s="43" t="b">
        <v>0</v>
      </c>
      <c r="H15" s="43" t="b">
        <v>0</v>
      </c>
      <c r="I15" s="43" t="b">
        <v>0</v>
      </c>
      <c r="J15" s="44" t="b">
        <v>0</v>
      </c>
      <c r="K15" s="44" t="b">
        <v>0</v>
      </c>
      <c r="L15" s="44" t="b">
        <v>0</v>
      </c>
      <c r="M15" s="44" t="b">
        <v>0</v>
      </c>
      <c r="N15" s="44" t="b">
        <v>0</v>
      </c>
      <c r="O15" s="44" t="b">
        <v>0</v>
      </c>
      <c r="P15" s="44" t="b">
        <v>0</v>
      </c>
      <c r="Q15" s="43" t="b">
        <v>0</v>
      </c>
      <c r="R15" s="43" t="b">
        <v>0</v>
      </c>
      <c r="S15" s="43" t="b">
        <v>0</v>
      </c>
      <c r="T15" s="43" t="b">
        <v>0</v>
      </c>
      <c r="U15" s="43" t="b">
        <v>0</v>
      </c>
      <c r="V15" s="43" t="b">
        <v>0</v>
      </c>
      <c r="W15" s="43" t="b">
        <v>0</v>
      </c>
      <c r="X15" s="44" t="b">
        <v>0</v>
      </c>
      <c r="Y15" s="44" t="b">
        <v>0</v>
      </c>
      <c r="Z15" s="44" t="b">
        <v>0</v>
      </c>
      <c r="AA15" s="44" t="b">
        <v>0</v>
      </c>
      <c r="AB15" s="44" t="b">
        <v>0</v>
      </c>
      <c r="AC15" s="44" t="b">
        <v>0</v>
      </c>
      <c r="AD15" s="44" t="b">
        <v>0</v>
      </c>
      <c r="AE15" s="43" t="b">
        <v>0</v>
      </c>
      <c r="AF15" s="43" t="b">
        <v>0</v>
      </c>
      <c r="AG15" s="43" t="b">
        <v>0</v>
      </c>
      <c r="AH15" s="9"/>
      <c r="AI15" s="45">
        <f t="shared" si="1"/>
        <v>31</v>
      </c>
      <c r="AJ15" s="46">
        <f t="shared" si="2"/>
        <v>0</v>
      </c>
      <c r="AK15" s="29" t="str">
        <f>IFERROR(__xludf.DUMMYFUNCTION("SPARKLINE(AJ15/AI15, {""charttype"",""bar"";""max"",1;""color1"",""#90EE90""})"),"")</f>
        <v/>
      </c>
      <c r="AL15" s="26"/>
      <c r="AM15" s="27"/>
      <c r="AN15" s="9"/>
    </row>
    <row r="16">
      <c r="B16" s="42"/>
      <c r="C16" s="43" t="b">
        <v>0</v>
      </c>
      <c r="D16" s="43" t="b">
        <v>0</v>
      </c>
      <c r="E16" s="43" t="b">
        <v>0</v>
      </c>
      <c r="F16" s="43" t="b">
        <v>0</v>
      </c>
      <c r="G16" s="43" t="b">
        <v>0</v>
      </c>
      <c r="H16" s="43" t="b">
        <v>0</v>
      </c>
      <c r="I16" s="43" t="b">
        <v>0</v>
      </c>
      <c r="J16" s="44" t="b">
        <v>0</v>
      </c>
      <c r="K16" s="44" t="b">
        <v>0</v>
      </c>
      <c r="L16" s="44" t="b">
        <v>0</v>
      </c>
      <c r="M16" s="44" t="b">
        <v>0</v>
      </c>
      <c r="N16" s="44" t="b">
        <v>0</v>
      </c>
      <c r="O16" s="44" t="b">
        <v>0</v>
      </c>
      <c r="P16" s="44" t="b">
        <v>0</v>
      </c>
      <c r="Q16" s="43" t="b">
        <v>0</v>
      </c>
      <c r="R16" s="43" t="b">
        <v>0</v>
      </c>
      <c r="S16" s="43" t="b">
        <v>0</v>
      </c>
      <c r="T16" s="43" t="b">
        <v>0</v>
      </c>
      <c r="U16" s="43" t="b">
        <v>0</v>
      </c>
      <c r="V16" s="43" t="b">
        <v>0</v>
      </c>
      <c r="W16" s="43" t="b">
        <v>0</v>
      </c>
      <c r="X16" s="44" t="b">
        <v>0</v>
      </c>
      <c r="Y16" s="44" t="b">
        <v>0</v>
      </c>
      <c r="Z16" s="44" t="b">
        <v>0</v>
      </c>
      <c r="AA16" s="44" t="b">
        <v>0</v>
      </c>
      <c r="AB16" s="44" t="b">
        <v>0</v>
      </c>
      <c r="AC16" s="44" t="b">
        <v>0</v>
      </c>
      <c r="AD16" s="44" t="b">
        <v>0</v>
      </c>
      <c r="AE16" s="43" t="b">
        <v>0</v>
      </c>
      <c r="AF16" s="43" t="b">
        <v>0</v>
      </c>
      <c r="AG16" s="43" t="b">
        <v>0</v>
      </c>
      <c r="AH16" s="9"/>
      <c r="AI16" s="45">
        <f t="shared" si="1"/>
        <v>31</v>
      </c>
      <c r="AJ16" s="46">
        <f t="shared" si="2"/>
        <v>0</v>
      </c>
      <c r="AK16" s="29" t="str">
        <f>IFERROR(__xludf.DUMMYFUNCTION("SPARKLINE(AJ16/AI16, {""charttype"",""bar"";""max"",1;""color1"",""#90EE90""})"),"")</f>
        <v/>
      </c>
      <c r="AL16" s="26"/>
      <c r="AM16" s="27"/>
      <c r="AN16" s="9"/>
    </row>
    <row r="17">
      <c r="B17" s="42"/>
      <c r="C17" s="43" t="b">
        <v>0</v>
      </c>
      <c r="D17" s="43" t="b">
        <v>0</v>
      </c>
      <c r="E17" s="43" t="b">
        <v>0</v>
      </c>
      <c r="F17" s="43" t="b">
        <v>0</v>
      </c>
      <c r="G17" s="43" t="b">
        <v>0</v>
      </c>
      <c r="H17" s="43" t="b">
        <v>0</v>
      </c>
      <c r="I17" s="43" t="b">
        <v>0</v>
      </c>
      <c r="J17" s="44" t="b">
        <v>0</v>
      </c>
      <c r="K17" s="44" t="b">
        <v>0</v>
      </c>
      <c r="L17" s="44" t="b">
        <v>0</v>
      </c>
      <c r="M17" s="44" t="b">
        <v>0</v>
      </c>
      <c r="N17" s="44" t="b">
        <v>0</v>
      </c>
      <c r="O17" s="44" t="b">
        <v>0</v>
      </c>
      <c r="P17" s="44" t="b">
        <v>0</v>
      </c>
      <c r="Q17" s="43" t="b">
        <v>0</v>
      </c>
      <c r="R17" s="43" t="b">
        <v>0</v>
      </c>
      <c r="S17" s="43" t="b">
        <v>0</v>
      </c>
      <c r="T17" s="43" t="b">
        <v>0</v>
      </c>
      <c r="U17" s="43" t="b">
        <v>0</v>
      </c>
      <c r="V17" s="43" t="b">
        <v>0</v>
      </c>
      <c r="W17" s="43" t="b">
        <v>0</v>
      </c>
      <c r="X17" s="44" t="b">
        <v>0</v>
      </c>
      <c r="Y17" s="44" t="b">
        <v>0</v>
      </c>
      <c r="Z17" s="44" t="b">
        <v>0</v>
      </c>
      <c r="AA17" s="44" t="b">
        <v>0</v>
      </c>
      <c r="AB17" s="44" t="b">
        <v>0</v>
      </c>
      <c r="AC17" s="44" t="b">
        <v>0</v>
      </c>
      <c r="AD17" s="44" t="b">
        <v>0</v>
      </c>
      <c r="AE17" s="43" t="b">
        <v>0</v>
      </c>
      <c r="AF17" s="43" t="b">
        <v>0</v>
      </c>
      <c r="AG17" s="43" t="b">
        <v>0</v>
      </c>
      <c r="AH17" s="9"/>
      <c r="AI17" s="45">
        <f t="shared" si="1"/>
        <v>31</v>
      </c>
      <c r="AJ17" s="46">
        <f t="shared" si="2"/>
        <v>0</v>
      </c>
      <c r="AK17" s="29" t="str">
        <f>IFERROR(__xludf.DUMMYFUNCTION("SPARKLINE(AJ17/AI17, {""charttype"",""bar"";""max"",1;""color1"",""#90EE90""})"),"")</f>
        <v/>
      </c>
      <c r="AL17" s="26"/>
      <c r="AM17" s="27"/>
      <c r="AN17" s="9"/>
    </row>
    <row r="18">
      <c r="B18" s="42"/>
      <c r="C18" s="43" t="b">
        <v>0</v>
      </c>
      <c r="D18" s="43" t="b">
        <v>0</v>
      </c>
      <c r="E18" s="43" t="b">
        <v>0</v>
      </c>
      <c r="F18" s="43" t="b">
        <v>0</v>
      </c>
      <c r="G18" s="43" t="b">
        <v>0</v>
      </c>
      <c r="H18" s="43" t="b">
        <v>0</v>
      </c>
      <c r="I18" s="43" t="b">
        <v>0</v>
      </c>
      <c r="J18" s="44" t="b">
        <v>0</v>
      </c>
      <c r="K18" s="44" t="b">
        <v>0</v>
      </c>
      <c r="L18" s="44" t="b">
        <v>0</v>
      </c>
      <c r="M18" s="44" t="b">
        <v>0</v>
      </c>
      <c r="N18" s="44" t="b">
        <v>0</v>
      </c>
      <c r="O18" s="44" t="b">
        <v>0</v>
      </c>
      <c r="P18" s="44" t="b">
        <v>0</v>
      </c>
      <c r="Q18" s="43" t="b">
        <v>0</v>
      </c>
      <c r="R18" s="43" t="b">
        <v>0</v>
      </c>
      <c r="S18" s="43" t="b">
        <v>0</v>
      </c>
      <c r="T18" s="43" t="b">
        <v>0</v>
      </c>
      <c r="U18" s="43" t="b">
        <v>0</v>
      </c>
      <c r="V18" s="43" t="b">
        <v>0</v>
      </c>
      <c r="W18" s="43" t="b">
        <v>0</v>
      </c>
      <c r="X18" s="44" t="b">
        <v>0</v>
      </c>
      <c r="Y18" s="44" t="b">
        <v>0</v>
      </c>
      <c r="Z18" s="44" t="b">
        <v>0</v>
      </c>
      <c r="AA18" s="44" t="b">
        <v>0</v>
      </c>
      <c r="AB18" s="44" t="b">
        <v>0</v>
      </c>
      <c r="AC18" s="44" t="b">
        <v>0</v>
      </c>
      <c r="AD18" s="44" t="b">
        <v>0</v>
      </c>
      <c r="AE18" s="43" t="b">
        <v>0</v>
      </c>
      <c r="AF18" s="43" t="b">
        <v>0</v>
      </c>
      <c r="AG18" s="43" t="b">
        <v>0</v>
      </c>
      <c r="AH18" s="9"/>
      <c r="AI18" s="45">
        <f t="shared" si="1"/>
        <v>31</v>
      </c>
      <c r="AJ18" s="46">
        <f t="shared" si="2"/>
        <v>0</v>
      </c>
      <c r="AK18" s="29" t="str">
        <f>IFERROR(__xludf.DUMMYFUNCTION("SPARKLINE(AJ18/AI18, {""charttype"",""bar"";""max"",1;""color1"",""#90EE90""})"),"")</f>
        <v/>
      </c>
      <c r="AL18" s="26"/>
      <c r="AM18" s="27"/>
      <c r="AN18" s="9"/>
    </row>
    <row r="19">
      <c r="B19" s="42"/>
      <c r="C19" s="43" t="b">
        <v>0</v>
      </c>
      <c r="D19" s="43" t="b">
        <v>0</v>
      </c>
      <c r="E19" s="43" t="b">
        <v>0</v>
      </c>
      <c r="F19" s="43" t="b">
        <v>0</v>
      </c>
      <c r="G19" s="43" t="b">
        <v>0</v>
      </c>
      <c r="H19" s="43" t="b">
        <v>0</v>
      </c>
      <c r="I19" s="43" t="b">
        <v>0</v>
      </c>
      <c r="J19" s="44" t="b">
        <v>0</v>
      </c>
      <c r="K19" s="44" t="b">
        <v>0</v>
      </c>
      <c r="L19" s="44" t="b">
        <v>0</v>
      </c>
      <c r="M19" s="44" t="b">
        <v>0</v>
      </c>
      <c r="N19" s="44" t="b">
        <v>0</v>
      </c>
      <c r="O19" s="44" t="b">
        <v>0</v>
      </c>
      <c r="P19" s="44" t="b">
        <v>0</v>
      </c>
      <c r="Q19" s="43" t="b">
        <v>0</v>
      </c>
      <c r="R19" s="43" t="b">
        <v>0</v>
      </c>
      <c r="S19" s="43" t="b">
        <v>0</v>
      </c>
      <c r="T19" s="43" t="b">
        <v>0</v>
      </c>
      <c r="U19" s="43" t="b">
        <v>0</v>
      </c>
      <c r="V19" s="43" t="b">
        <v>0</v>
      </c>
      <c r="W19" s="43" t="b">
        <v>0</v>
      </c>
      <c r="X19" s="44" t="b">
        <v>0</v>
      </c>
      <c r="Y19" s="44" t="b">
        <v>0</v>
      </c>
      <c r="Z19" s="44" t="b">
        <v>0</v>
      </c>
      <c r="AA19" s="44" t="b">
        <v>0</v>
      </c>
      <c r="AB19" s="44" t="b">
        <v>0</v>
      </c>
      <c r="AC19" s="44" t="b">
        <v>0</v>
      </c>
      <c r="AD19" s="44" t="b">
        <v>0</v>
      </c>
      <c r="AE19" s="43" t="b">
        <v>0</v>
      </c>
      <c r="AF19" s="43" t="b">
        <v>0</v>
      </c>
      <c r="AG19" s="43" t="b">
        <v>0</v>
      </c>
      <c r="AH19" s="9"/>
      <c r="AI19" s="45">
        <f t="shared" si="1"/>
        <v>31</v>
      </c>
      <c r="AJ19" s="46">
        <f t="shared" si="2"/>
        <v>0</v>
      </c>
      <c r="AK19" s="29" t="str">
        <f>IFERROR(__xludf.DUMMYFUNCTION("SPARKLINE(AJ19/AI19, {""charttype"",""bar"";""max"",1;""color1"",""#90EE90""})"),"")</f>
        <v/>
      </c>
      <c r="AL19" s="26"/>
      <c r="AM19" s="27"/>
      <c r="AN19" s="9"/>
    </row>
    <row r="20">
      <c r="B20" s="47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</row>
    <row r="21">
      <c r="B21" s="40" t="s">
        <v>11</v>
      </c>
      <c r="C21" s="49">
        <f t="shared" ref="C21:AG21" si="3">COUNTIF(C10:C19, TRUE)/COUNTA(C10:C19)</f>
        <v>0</v>
      </c>
      <c r="D21" s="49">
        <f t="shared" si="3"/>
        <v>0</v>
      </c>
      <c r="E21" s="49">
        <f t="shared" si="3"/>
        <v>0</v>
      </c>
      <c r="F21" s="49">
        <f t="shared" si="3"/>
        <v>0</v>
      </c>
      <c r="G21" s="49">
        <f t="shared" si="3"/>
        <v>0</v>
      </c>
      <c r="H21" s="49">
        <f t="shared" si="3"/>
        <v>0</v>
      </c>
      <c r="I21" s="49">
        <f t="shared" si="3"/>
        <v>0</v>
      </c>
      <c r="J21" s="49">
        <f t="shared" si="3"/>
        <v>0</v>
      </c>
      <c r="K21" s="49">
        <f t="shared" si="3"/>
        <v>0</v>
      </c>
      <c r="L21" s="49">
        <f t="shared" si="3"/>
        <v>0</v>
      </c>
      <c r="M21" s="49">
        <f t="shared" si="3"/>
        <v>0</v>
      </c>
      <c r="N21" s="49">
        <f t="shared" si="3"/>
        <v>0</v>
      </c>
      <c r="O21" s="49">
        <f t="shared" si="3"/>
        <v>0</v>
      </c>
      <c r="P21" s="49">
        <f t="shared" si="3"/>
        <v>0</v>
      </c>
      <c r="Q21" s="49">
        <f t="shared" si="3"/>
        <v>0</v>
      </c>
      <c r="R21" s="49">
        <f t="shared" si="3"/>
        <v>0</v>
      </c>
      <c r="S21" s="49">
        <f t="shared" si="3"/>
        <v>0</v>
      </c>
      <c r="T21" s="49">
        <f t="shared" si="3"/>
        <v>0</v>
      </c>
      <c r="U21" s="49">
        <f t="shared" si="3"/>
        <v>0</v>
      </c>
      <c r="V21" s="49">
        <f t="shared" si="3"/>
        <v>0</v>
      </c>
      <c r="W21" s="49">
        <f t="shared" si="3"/>
        <v>0</v>
      </c>
      <c r="X21" s="49">
        <f t="shared" si="3"/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B21" s="49">
        <f t="shared" si="3"/>
        <v>0</v>
      </c>
      <c r="AC21" s="49">
        <f t="shared" si="3"/>
        <v>0</v>
      </c>
      <c r="AD21" s="49">
        <f t="shared" si="3"/>
        <v>0</v>
      </c>
      <c r="AE21" s="49">
        <f t="shared" si="3"/>
        <v>0</v>
      </c>
      <c r="AF21" s="49">
        <f t="shared" si="3"/>
        <v>0</v>
      </c>
      <c r="AG21" s="49">
        <f t="shared" si="3"/>
        <v>0</v>
      </c>
    </row>
    <row r="22">
      <c r="B22" s="40" t="s">
        <v>38</v>
      </c>
      <c r="C22" s="46">
        <f t="shared" ref="C22:AG22" si="4">COUNTIF(C10:C19, TRUE)</f>
        <v>0</v>
      </c>
      <c r="D22" s="46">
        <f t="shared" si="4"/>
        <v>0</v>
      </c>
      <c r="E22" s="46">
        <f t="shared" si="4"/>
        <v>0</v>
      </c>
      <c r="F22" s="46">
        <f t="shared" si="4"/>
        <v>0</v>
      </c>
      <c r="G22" s="46">
        <f t="shared" si="4"/>
        <v>0</v>
      </c>
      <c r="H22" s="46">
        <f t="shared" si="4"/>
        <v>0</v>
      </c>
      <c r="I22" s="46">
        <f t="shared" si="4"/>
        <v>0</v>
      </c>
      <c r="J22" s="46">
        <f t="shared" si="4"/>
        <v>0</v>
      </c>
      <c r="K22" s="46">
        <f t="shared" si="4"/>
        <v>0</v>
      </c>
      <c r="L22" s="46">
        <f t="shared" si="4"/>
        <v>0</v>
      </c>
      <c r="M22" s="46">
        <f t="shared" si="4"/>
        <v>0</v>
      </c>
      <c r="N22" s="46">
        <f t="shared" si="4"/>
        <v>0</v>
      </c>
      <c r="O22" s="46">
        <f t="shared" si="4"/>
        <v>0</v>
      </c>
      <c r="P22" s="46">
        <f t="shared" si="4"/>
        <v>0</v>
      </c>
      <c r="Q22" s="46">
        <f t="shared" si="4"/>
        <v>0</v>
      </c>
      <c r="R22" s="46">
        <f t="shared" si="4"/>
        <v>0</v>
      </c>
      <c r="S22" s="46">
        <f t="shared" si="4"/>
        <v>0</v>
      </c>
      <c r="T22" s="46">
        <f t="shared" si="4"/>
        <v>0</v>
      </c>
      <c r="U22" s="46">
        <f t="shared" si="4"/>
        <v>0</v>
      </c>
      <c r="V22" s="46">
        <f t="shared" si="4"/>
        <v>0</v>
      </c>
      <c r="W22" s="46">
        <f t="shared" si="4"/>
        <v>0</v>
      </c>
      <c r="X22" s="46">
        <f t="shared" si="4"/>
        <v>0</v>
      </c>
      <c r="Y22" s="46">
        <f t="shared" si="4"/>
        <v>0</v>
      </c>
      <c r="Z22" s="46">
        <f t="shared" si="4"/>
        <v>0</v>
      </c>
      <c r="AA22" s="46">
        <f t="shared" si="4"/>
        <v>0</v>
      </c>
      <c r="AB22" s="46">
        <f t="shared" si="4"/>
        <v>0</v>
      </c>
      <c r="AC22" s="46">
        <f t="shared" si="4"/>
        <v>0</v>
      </c>
      <c r="AD22" s="46">
        <f t="shared" si="4"/>
        <v>0</v>
      </c>
      <c r="AE22" s="46">
        <f t="shared" si="4"/>
        <v>0</v>
      </c>
      <c r="AF22" s="46">
        <f t="shared" si="4"/>
        <v>0</v>
      </c>
      <c r="AG22" s="46">
        <f t="shared" si="4"/>
        <v>0</v>
      </c>
    </row>
    <row r="23">
      <c r="B23" s="40" t="s">
        <v>39</v>
      </c>
      <c r="C23" s="46">
        <f t="shared" ref="C23:AG23" si="5">COUNTIF(C10:C19, FALSE)</f>
        <v>10</v>
      </c>
      <c r="D23" s="46">
        <f t="shared" si="5"/>
        <v>10</v>
      </c>
      <c r="E23" s="46">
        <f t="shared" si="5"/>
        <v>10</v>
      </c>
      <c r="F23" s="46">
        <f t="shared" si="5"/>
        <v>10</v>
      </c>
      <c r="G23" s="46">
        <f t="shared" si="5"/>
        <v>10</v>
      </c>
      <c r="H23" s="46">
        <f t="shared" si="5"/>
        <v>10</v>
      </c>
      <c r="I23" s="46">
        <f t="shared" si="5"/>
        <v>10</v>
      </c>
      <c r="J23" s="46">
        <f t="shared" si="5"/>
        <v>10</v>
      </c>
      <c r="K23" s="46">
        <f t="shared" si="5"/>
        <v>10</v>
      </c>
      <c r="L23" s="46">
        <f t="shared" si="5"/>
        <v>10</v>
      </c>
      <c r="M23" s="46">
        <f t="shared" si="5"/>
        <v>10</v>
      </c>
      <c r="N23" s="46">
        <f t="shared" si="5"/>
        <v>10</v>
      </c>
      <c r="O23" s="46">
        <f t="shared" si="5"/>
        <v>10</v>
      </c>
      <c r="P23" s="46">
        <f t="shared" si="5"/>
        <v>10</v>
      </c>
      <c r="Q23" s="46">
        <f t="shared" si="5"/>
        <v>10</v>
      </c>
      <c r="R23" s="46">
        <f t="shared" si="5"/>
        <v>10</v>
      </c>
      <c r="S23" s="46">
        <f t="shared" si="5"/>
        <v>10</v>
      </c>
      <c r="T23" s="46">
        <f t="shared" si="5"/>
        <v>10</v>
      </c>
      <c r="U23" s="46">
        <f t="shared" si="5"/>
        <v>10</v>
      </c>
      <c r="V23" s="46">
        <f t="shared" si="5"/>
        <v>10</v>
      </c>
      <c r="W23" s="46">
        <f t="shared" si="5"/>
        <v>10</v>
      </c>
      <c r="X23" s="46">
        <f t="shared" si="5"/>
        <v>10</v>
      </c>
      <c r="Y23" s="46">
        <f t="shared" si="5"/>
        <v>10</v>
      </c>
      <c r="Z23" s="46">
        <f t="shared" si="5"/>
        <v>10</v>
      </c>
      <c r="AA23" s="46">
        <f t="shared" si="5"/>
        <v>10</v>
      </c>
      <c r="AB23" s="46">
        <f t="shared" si="5"/>
        <v>10</v>
      </c>
      <c r="AC23" s="46">
        <f t="shared" si="5"/>
        <v>10</v>
      </c>
      <c r="AD23" s="46">
        <f t="shared" si="5"/>
        <v>10</v>
      </c>
      <c r="AE23" s="46">
        <f t="shared" si="5"/>
        <v>10</v>
      </c>
      <c r="AF23" s="46">
        <f t="shared" si="5"/>
        <v>10</v>
      </c>
      <c r="AG23" s="46">
        <f t="shared" si="5"/>
        <v>10</v>
      </c>
    </row>
    <row r="33">
      <c r="B33" s="50"/>
      <c r="C33" s="41" t="s">
        <v>40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</row>
    <row r="34">
      <c r="B34" s="40" t="s">
        <v>41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1"/>
    </row>
    <row r="35">
      <c r="B35" s="40" t="s">
        <v>42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1"/>
    </row>
    <row r="36">
      <c r="C36" s="53">
        <f t="shared" ref="C36:AG36" si="6">(C35+C34)/20</f>
        <v>0</v>
      </c>
      <c r="D36" s="53">
        <f t="shared" si="6"/>
        <v>0</v>
      </c>
      <c r="E36" s="53">
        <f t="shared" si="6"/>
        <v>0</v>
      </c>
      <c r="F36" s="53">
        <f t="shared" si="6"/>
        <v>0</v>
      </c>
      <c r="G36" s="53">
        <f t="shared" si="6"/>
        <v>0</v>
      </c>
      <c r="H36" s="53">
        <f t="shared" si="6"/>
        <v>0</v>
      </c>
      <c r="I36" s="53">
        <f t="shared" si="6"/>
        <v>0</v>
      </c>
      <c r="J36" s="53">
        <f t="shared" si="6"/>
        <v>0</v>
      </c>
      <c r="K36" s="53">
        <f t="shared" si="6"/>
        <v>0</v>
      </c>
      <c r="L36" s="53">
        <f t="shared" si="6"/>
        <v>0</v>
      </c>
      <c r="M36" s="53">
        <f t="shared" si="6"/>
        <v>0</v>
      </c>
      <c r="N36" s="53">
        <f t="shared" si="6"/>
        <v>0</v>
      </c>
      <c r="O36" s="53">
        <f t="shared" si="6"/>
        <v>0</v>
      </c>
      <c r="P36" s="53">
        <f t="shared" si="6"/>
        <v>0</v>
      </c>
      <c r="Q36" s="53">
        <f t="shared" si="6"/>
        <v>0</v>
      </c>
      <c r="R36" s="53">
        <f t="shared" si="6"/>
        <v>0</v>
      </c>
      <c r="S36" s="53">
        <f t="shared" si="6"/>
        <v>0</v>
      </c>
      <c r="T36" s="53">
        <f t="shared" si="6"/>
        <v>0</v>
      </c>
      <c r="U36" s="53">
        <f t="shared" si="6"/>
        <v>0</v>
      </c>
      <c r="V36" s="53">
        <f t="shared" si="6"/>
        <v>0</v>
      </c>
      <c r="W36" s="53">
        <f t="shared" si="6"/>
        <v>0</v>
      </c>
      <c r="X36" s="53">
        <f t="shared" si="6"/>
        <v>0</v>
      </c>
      <c r="Y36" s="53">
        <f t="shared" si="6"/>
        <v>0</v>
      </c>
      <c r="Z36" s="53">
        <f t="shared" si="6"/>
        <v>0</v>
      </c>
      <c r="AA36" s="53">
        <f t="shared" si="6"/>
        <v>0</v>
      </c>
      <c r="AB36" s="53">
        <f t="shared" si="6"/>
        <v>0</v>
      </c>
      <c r="AC36" s="53">
        <f t="shared" si="6"/>
        <v>0</v>
      </c>
      <c r="AD36" s="53">
        <f t="shared" si="6"/>
        <v>0</v>
      </c>
      <c r="AE36" s="53">
        <f t="shared" si="6"/>
        <v>0</v>
      </c>
      <c r="AF36" s="53">
        <f t="shared" si="6"/>
        <v>0</v>
      </c>
      <c r="AG36" s="53">
        <f t="shared" si="6"/>
        <v>0</v>
      </c>
    </row>
  </sheetData>
  <mergeCells count="28">
    <mergeCell ref="AB3:AD3"/>
    <mergeCell ref="AB4:AD4"/>
    <mergeCell ref="B3:H4"/>
    <mergeCell ref="J3:N3"/>
    <mergeCell ref="P3:T3"/>
    <mergeCell ref="V3:Z3"/>
    <mergeCell ref="J4:N4"/>
    <mergeCell ref="P4:T4"/>
    <mergeCell ref="V4:Z4"/>
    <mergeCell ref="B7:B9"/>
    <mergeCell ref="C7:I7"/>
    <mergeCell ref="J7:P7"/>
    <mergeCell ref="Q7:W7"/>
    <mergeCell ref="X7:AD7"/>
    <mergeCell ref="AE7:AF7"/>
    <mergeCell ref="AI7:AM8"/>
    <mergeCell ref="AK16:AM16"/>
    <mergeCell ref="AK17:AM17"/>
    <mergeCell ref="AK18:AM18"/>
    <mergeCell ref="AK19:AM19"/>
    <mergeCell ref="C33:AG33"/>
    <mergeCell ref="AK9:AM9"/>
    <mergeCell ref="AK10:AM10"/>
    <mergeCell ref="AK11:AM11"/>
    <mergeCell ref="AK12:AM12"/>
    <mergeCell ref="AK13:AM13"/>
    <mergeCell ref="AK14:AM14"/>
    <mergeCell ref="AK15:AM15"/>
  </mergeCells>
  <dataValidations>
    <dataValidation type="list" allowBlank="1" showErrorMessage="1" sqref="C34:AG35">
      <formula1>"10,9,8,7,6,5,4,3,2,1,0"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23.25"/>
    <col customWidth="1" min="3" max="33" width="4.13"/>
    <col customWidth="1" min="34" max="34" width="10.0"/>
    <col customWidth="1" min="35" max="35" width="8.0"/>
    <col customWidth="1" min="36" max="39" width="4.13"/>
  </cols>
  <sheetData>
    <row r="2">
      <c r="B2" s="64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6"/>
      <c r="AM2" s="9"/>
    </row>
    <row r="3">
      <c r="B3" s="10" t="s">
        <v>68</v>
      </c>
      <c r="I3" s="67"/>
      <c r="J3" s="68" t="s">
        <v>70</v>
      </c>
      <c r="O3" s="69"/>
      <c r="P3" s="68" t="s">
        <v>10</v>
      </c>
      <c r="U3" s="69"/>
      <c r="V3" s="68" t="s">
        <v>11</v>
      </c>
      <c r="AA3" s="69"/>
      <c r="AB3" s="68" t="s">
        <v>12</v>
      </c>
      <c r="AE3" s="12"/>
      <c r="AF3" s="12"/>
      <c r="AG3" s="70"/>
      <c r="AH3" s="71"/>
      <c r="AI3" s="71"/>
      <c r="AJ3" s="71"/>
      <c r="AK3" s="71"/>
      <c r="AL3" s="72"/>
      <c r="AM3" s="9"/>
    </row>
    <row r="4">
      <c r="B4" s="17"/>
      <c r="I4" s="67"/>
      <c r="J4" s="71">
        <f>COUNTA($B$10:$B$19)</f>
        <v>0</v>
      </c>
      <c r="O4" s="70"/>
      <c r="P4" s="71">
        <f>COUNTIF($C$10:$AF$19, TRUE)</f>
        <v>0</v>
      </c>
      <c r="U4" s="70"/>
      <c r="V4" s="73" t="str">
        <f>IFERROR(__xludf.DUMMYFUNCTION("SPARKLINE(AB4, {""charttype"",""bar"";""max"",1;""color1"",""#90EE90""})"),"")</f>
        <v/>
      </c>
      <c r="AA4" s="70"/>
      <c r="AB4" s="74">
        <f>(P4)/(COUNTA($C$10:$C$19)*COUNTA($C$10:$AF$10))</f>
        <v>0</v>
      </c>
      <c r="AE4" s="74"/>
      <c r="AF4" s="74"/>
      <c r="AG4" s="70"/>
      <c r="AH4" s="71"/>
      <c r="AI4" s="71"/>
      <c r="AJ4" s="71"/>
      <c r="AK4" s="71"/>
      <c r="AL4" s="72"/>
      <c r="AM4" s="9"/>
    </row>
    <row r="5">
      <c r="B5" s="75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7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8"/>
      <c r="AM5" s="9"/>
    </row>
    <row r="6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</row>
    <row r="7">
      <c r="B7" s="24" t="s">
        <v>13</v>
      </c>
      <c r="C7" s="25" t="s">
        <v>14</v>
      </c>
      <c r="D7" s="26"/>
      <c r="E7" s="26"/>
      <c r="F7" s="26"/>
      <c r="G7" s="26"/>
      <c r="H7" s="26"/>
      <c r="I7" s="27"/>
      <c r="J7" s="28" t="s">
        <v>15</v>
      </c>
      <c r="K7" s="26"/>
      <c r="L7" s="26"/>
      <c r="M7" s="26"/>
      <c r="N7" s="26"/>
      <c r="O7" s="26"/>
      <c r="P7" s="27"/>
      <c r="Q7" s="25" t="s">
        <v>16</v>
      </c>
      <c r="R7" s="26"/>
      <c r="S7" s="26"/>
      <c r="T7" s="26"/>
      <c r="U7" s="26"/>
      <c r="V7" s="26"/>
      <c r="W7" s="27"/>
      <c r="X7" s="28" t="s">
        <v>17</v>
      </c>
      <c r="Y7" s="26"/>
      <c r="Z7" s="26"/>
      <c r="AA7" s="26"/>
      <c r="AB7" s="26"/>
      <c r="AC7" s="26"/>
      <c r="AD7" s="27"/>
      <c r="AE7" s="29"/>
      <c r="AF7" s="27"/>
      <c r="AG7" s="9"/>
      <c r="AH7" s="30" t="s">
        <v>18</v>
      </c>
      <c r="AI7" s="31"/>
      <c r="AJ7" s="31"/>
      <c r="AK7" s="31"/>
      <c r="AL7" s="32"/>
    </row>
    <row r="8">
      <c r="B8" s="33"/>
      <c r="C8" s="34" t="s">
        <v>20</v>
      </c>
      <c r="D8" s="34" t="s">
        <v>21</v>
      </c>
      <c r="E8" s="34" t="s">
        <v>22</v>
      </c>
      <c r="F8" s="34" t="s">
        <v>23</v>
      </c>
      <c r="G8" s="34" t="s">
        <v>24</v>
      </c>
      <c r="H8" s="34" t="s">
        <v>25</v>
      </c>
      <c r="I8" s="34" t="s">
        <v>19</v>
      </c>
      <c r="J8" s="35" t="s">
        <v>20</v>
      </c>
      <c r="K8" s="35" t="s">
        <v>21</v>
      </c>
      <c r="L8" s="35" t="s">
        <v>22</v>
      </c>
      <c r="M8" s="35" t="s">
        <v>23</v>
      </c>
      <c r="N8" s="35" t="s">
        <v>24</v>
      </c>
      <c r="O8" s="35" t="s">
        <v>25</v>
      </c>
      <c r="P8" s="35" t="s">
        <v>19</v>
      </c>
      <c r="Q8" s="34" t="s">
        <v>20</v>
      </c>
      <c r="R8" s="34" t="s">
        <v>21</v>
      </c>
      <c r="S8" s="34" t="s">
        <v>22</v>
      </c>
      <c r="T8" s="34" t="s">
        <v>23</v>
      </c>
      <c r="U8" s="34" t="s">
        <v>24</v>
      </c>
      <c r="V8" s="34" t="s">
        <v>25</v>
      </c>
      <c r="W8" s="34" t="s">
        <v>19</v>
      </c>
      <c r="X8" s="35" t="s">
        <v>20</v>
      </c>
      <c r="Y8" s="35" t="s">
        <v>21</v>
      </c>
      <c r="Z8" s="35" t="s">
        <v>22</v>
      </c>
      <c r="AA8" s="35" t="s">
        <v>23</v>
      </c>
      <c r="AB8" s="35" t="s">
        <v>24</v>
      </c>
      <c r="AC8" s="35" t="s">
        <v>25</v>
      </c>
      <c r="AD8" s="35" t="s">
        <v>19</v>
      </c>
      <c r="AE8" s="34" t="s">
        <v>20</v>
      </c>
      <c r="AF8" s="34" t="s">
        <v>21</v>
      </c>
      <c r="AG8" s="9"/>
      <c r="AH8" s="36"/>
      <c r="AI8" s="37"/>
      <c r="AJ8" s="37"/>
      <c r="AK8" s="37"/>
      <c r="AL8" s="38"/>
    </row>
    <row r="9">
      <c r="B9" s="39"/>
      <c r="C9" s="34">
        <v>1.0</v>
      </c>
      <c r="D9" s="34">
        <v>2.0</v>
      </c>
      <c r="E9" s="34">
        <v>3.0</v>
      </c>
      <c r="F9" s="34">
        <v>4.0</v>
      </c>
      <c r="G9" s="34">
        <v>5.0</v>
      </c>
      <c r="H9" s="34">
        <v>6.0</v>
      </c>
      <c r="I9" s="34">
        <v>7.0</v>
      </c>
      <c r="J9" s="35">
        <v>8.0</v>
      </c>
      <c r="K9" s="35">
        <v>9.0</v>
      </c>
      <c r="L9" s="35">
        <v>10.0</v>
      </c>
      <c r="M9" s="35">
        <v>11.0</v>
      </c>
      <c r="N9" s="35">
        <v>12.0</v>
      </c>
      <c r="O9" s="35">
        <v>13.0</v>
      </c>
      <c r="P9" s="35">
        <v>14.0</v>
      </c>
      <c r="Q9" s="34">
        <v>15.0</v>
      </c>
      <c r="R9" s="34">
        <v>16.0</v>
      </c>
      <c r="S9" s="34">
        <v>17.0</v>
      </c>
      <c r="T9" s="34">
        <v>18.0</v>
      </c>
      <c r="U9" s="34">
        <v>19.0</v>
      </c>
      <c r="V9" s="34">
        <v>20.0</v>
      </c>
      <c r="W9" s="34">
        <v>21.0</v>
      </c>
      <c r="X9" s="35">
        <v>22.0</v>
      </c>
      <c r="Y9" s="35">
        <v>23.0</v>
      </c>
      <c r="Z9" s="35">
        <v>24.0</v>
      </c>
      <c r="AA9" s="35">
        <v>25.0</v>
      </c>
      <c r="AB9" s="35">
        <v>26.0</v>
      </c>
      <c r="AC9" s="35">
        <v>27.0</v>
      </c>
      <c r="AD9" s="35">
        <v>28.0</v>
      </c>
      <c r="AE9" s="34">
        <v>29.0</v>
      </c>
      <c r="AF9" s="34">
        <v>30.0</v>
      </c>
      <c r="AG9" s="9"/>
      <c r="AH9" s="40" t="s">
        <v>26</v>
      </c>
      <c r="AI9" s="40" t="s">
        <v>27</v>
      </c>
      <c r="AJ9" s="41" t="s">
        <v>11</v>
      </c>
      <c r="AK9" s="26"/>
      <c r="AL9" s="27"/>
    </row>
    <row r="10">
      <c r="B10" s="42"/>
      <c r="C10" s="82" t="b">
        <v>0</v>
      </c>
      <c r="D10" s="82" t="b">
        <v>0</v>
      </c>
      <c r="E10" s="82" t="b">
        <v>0</v>
      </c>
      <c r="F10" s="82" t="b">
        <v>0</v>
      </c>
      <c r="G10" s="82" t="b">
        <v>0</v>
      </c>
      <c r="H10" s="82" t="b">
        <v>0</v>
      </c>
      <c r="I10" s="82" t="b">
        <v>0</v>
      </c>
      <c r="J10" s="44" t="b">
        <v>0</v>
      </c>
      <c r="K10" s="44" t="b">
        <v>0</v>
      </c>
      <c r="L10" s="44" t="b">
        <v>0</v>
      </c>
      <c r="M10" s="44" t="b">
        <v>0</v>
      </c>
      <c r="N10" s="44" t="b">
        <v>0</v>
      </c>
      <c r="O10" s="44" t="b">
        <v>0</v>
      </c>
      <c r="P10" s="44" t="b">
        <v>0</v>
      </c>
      <c r="Q10" s="82" t="b">
        <v>0</v>
      </c>
      <c r="R10" s="82" t="b">
        <v>0</v>
      </c>
      <c r="S10" s="82" t="b">
        <v>0</v>
      </c>
      <c r="T10" s="82" t="b">
        <v>0</v>
      </c>
      <c r="U10" s="82" t="b">
        <v>0</v>
      </c>
      <c r="V10" s="82" t="b">
        <v>0</v>
      </c>
      <c r="W10" s="82" t="b">
        <v>0</v>
      </c>
      <c r="X10" s="44" t="b">
        <v>0</v>
      </c>
      <c r="Y10" s="44" t="b">
        <v>0</v>
      </c>
      <c r="Z10" s="44" t="b">
        <v>0</v>
      </c>
      <c r="AA10" s="44" t="b">
        <v>0</v>
      </c>
      <c r="AB10" s="44" t="b">
        <v>0</v>
      </c>
      <c r="AC10" s="44" t="b">
        <v>0</v>
      </c>
      <c r="AD10" s="44" t="b">
        <v>0</v>
      </c>
      <c r="AE10" s="43" t="b">
        <v>0</v>
      </c>
      <c r="AF10" s="43" t="b">
        <v>0</v>
      </c>
      <c r="AG10" s="9"/>
      <c r="AH10" s="45">
        <f t="shared" ref="AH10:AH19" si="1">30</f>
        <v>30</v>
      </c>
      <c r="AI10" s="46">
        <f t="shared" ref="AI10:AI19" si="2">COUNTIF(C10:AF10, TRUE)</f>
        <v>0</v>
      </c>
      <c r="AJ10" s="29" t="str">
        <f>IFERROR(__xludf.DUMMYFUNCTION("SPARKLINE(AI10/AH10, {""charttype"",""bar"";""max"",1;""color1"",""#90EE90""})"),"")</f>
        <v/>
      </c>
      <c r="AK10" s="26"/>
      <c r="AL10" s="27"/>
      <c r="AM10" s="9"/>
    </row>
    <row r="11">
      <c r="B11" s="42"/>
      <c r="C11" s="82" t="b">
        <v>0</v>
      </c>
      <c r="D11" s="82" t="b">
        <v>0</v>
      </c>
      <c r="E11" s="82" t="b">
        <v>0</v>
      </c>
      <c r="F11" s="82" t="b">
        <v>0</v>
      </c>
      <c r="G11" s="82" t="b">
        <v>0</v>
      </c>
      <c r="H11" s="82" t="b">
        <v>0</v>
      </c>
      <c r="I11" s="82" t="b">
        <v>0</v>
      </c>
      <c r="J11" s="44" t="b">
        <v>0</v>
      </c>
      <c r="K11" s="44" t="b">
        <v>0</v>
      </c>
      <c r="L11" s="44" t="b">
        <v>0</v>
      </c>
      <c r="M11" s="44" t="b">
        <v>0</v>
      </c>
      <c r="N11" s="44" t="b">
        <v>0</v>
      </c>
      <c r="O11" s="44" t="b">
        <v>0</v>
      </c>
      <c r="P11" s="44" t="b">
        <v>0</v>
      </c>
      <c r="Q11" s="82" t="b">
        <v>0</v>
      </c>
      <c r="R11" s="82" t="b">
        <v>0</v>
      </c>
      <c r="S11" s="82" t="b">
        <v>0</v>
      </c>
      <c r="T11" s="82" t="b">
        <v>0</v>
      </c>
      <c r="U11" s="82" t="b">
        <v>0</v>
      </c>
      <c r="V11" s="82" t="b">
        <v>0</v>
      </c>
      <c r="W11" s="82" t="b">
        <v>0</v>
      </c>
      <c r="X11" s="44" t="b">
        <v>0</v>
      </c>
      <c r="Y11" s="44" t="b">
        <v>0</v>
      </c>
      <c r="Z11" s="44" t="b">
        <v>0</v>
      </c>
      <c r="AA11" s="44" t="b">
        <v>0</v>
      </c>
      <c r="AB11" s="44" t="b">
        <v>0</v>
      </c>
      <c r="AC11" s="44" t="b">
        <v>0</v>
      </c>
      <c r="AD11" s="44" t="b">
        <v>0</v>
      </c>
      <c r="AE11" s="43" t="b">
        <v>0</v>
      </c>
      <c r="AF11" s="43" t="b">
        <v>0</v>
      </c>
      <c r="AG11" s="9"/>
      <c r="AH11" s="45">
        <f t="shared" si="1"/>
        <v>30</v>
      </c>
      <c r="AI11" s="46">
        <f t="shared" si="2"/>
        <v>0</v>
      </c>
      <c r="AJ11" s="29" t="str">
        <f>IFERROR(__xludf.DUMMYFUNCTION("SPARKLINE(AI11/AH11, {""charttype"",""bar"";""max"",1;""color1"",""#90EE90""})"),"")</f>
        <v/>
      </c>
      <c r="AK11" s="26"/>
      <c r="AL11" s="27"/>
      <c r="AM11" s="9"/>
    </row>
    <row r="12">
      <c r="B12" s="42"/>
      <c r="C12" s="82" t="b">
        <v>0</v>
      </c>
      <c r="D12" s="82" t="b">
        <v>0</v>
      </c>
      <c r="E12" s="82" t="b">
        <v>0</v>
      </c>
      <c r="F12" s="82" t="b">
        <v>0</v>
      </c>
      <c r="G12" s="82" t="b">
        <v>0</v>
      </c>
      <c r="H12" s="82" t="b">
        <v>0</v>
      </c>
      <c r="I12" s="82" t="b">
        <v>0</v>
      </c>
      <c r="J12" s="44" t="b">
        <v>0</v>
      </c>
      <c r="K12" s="44" t="b">
        <v>0</v>
      </c>
      <c r="L12" s="44" t="b">
        <v>0</v>
      </c>
      <c r="M12" s="44" t="b">
        <v>0</v>
      </c>
      <c r="N12" s="44" t="b">
        <v>0</v>
      </c>
      <c r="O12" s="44" t="b">
        <v>0</v>
      </c>
      <c r="P12" s="44" t="b">
        <v>0</v>
      </c>
      <c r="Q12" s="82" t="b">
        <v>0</v>
      </c>
      <c r="R12" s="82" t="b">
        <v>0</v>
      </c>
      <c r="S12" s="82" t="b">
        <v>0</v>
      </c>
      <c r="T12" s="82" t="b">
        <v>0</v>
      </c>
      <c r="U12" s="82" t="b">
        <v>0</v>
      </c>
      <c r="V12" s="82" t="b">
        <v>0</v>
      </c>
      <c r="W12" s="82" t="b">
        <v>0</v>
      </c>
      <c r="X12" s="44" t="b">
        <v>0</v>
      </c>
      <c r="Y12" s="44" t="b">
        <v>0</v>
      </c>
      <c r="Z12" s="44" t="b">
        <v>0</v>
      </c>
      <c r="AA12" s="44" t="b">
        <v>0</v>
      </c>
      <c r="AB12" s="44" t="b">
        <v>0</v>
      </c>
      <c r="AC12" s="44" t="b">
        <v>0</v>
      </c>
      <c r="AD12" s="44" t="b">
        <v>0</v>
      </c>
      <c r="AE12" s="43" t="b">
        <v>0</v>
      </c>
      <c r="AF12" s="43" t="b">
        <v>0</v>
      </c>
      <c r="AG12" s="9"/>
      <c r="AH12" s="45">
        <f t="shared" si="1"/>
        <v>30</v>
      </c>
      <c r="AI12" s="46">
        <f t="shared" si="2"/>
        <v>0</v>
      </c>
      <c r="AJ12" s="29" t="str">
        <f>IFERROR(__xludf.DUMMYFUNCTION("SPARKLINE(AI12/AH12, {""charttype"",""bar"";""max"",1;""color1"",""#90EE90""})"),"")</f>
        <v/>
      </c>
      <c r="AK12" s="26"/>
      <c r="AL12" s="27"/>
      <c r="AM12" s="9"/>
    </row>
    <row r="13">
      <c r="B13" s="42"/>
      <c r="C13" s="82" t="b">
        <v>0</v>
      </c>
      <c r="D13" s="82" t="b">
        <v>0</v>
      </c>
      <c r="E13" s="82" t="b">
        <v>0</v>
      </c>
      <c r="F13" s="82" t="b">
        <v>0</v>
      </c>
      <c r="G13" s="82" t="b">
        <v>0</v>
      </c>
      <c r="H13" s="82" t="b">
        <v>0</v>
      </c>
      <c r="I13" s="82" t="b">
        <v>0</v>
      </c>
      <c r="J13" s="44" t="b">
        <v>0</v>
      </c>
      <c r="K13" s="44" t="b">
        <v>0</v>
      </c>
      <c r="L13" s="44" t="b">
        <v>0</v>
      </c>
      <c r="M13" s="44" t="b">
        <v>0</v>
      </c>
      <c r="N13" s="44" t="b">
        <v>0</v>
      </c>
      <c r="O13" s="44" t="b">
        <v>0</v>
      </c>
      <c r="P13" s="44" t="b">
        <v>0</v>
      </c>
      <c r="Q13" s="82" t="b">
        <v>0</v>
      </c>
      <c r="R13" s="82" t="b">
        <v>0</v>
      </c>
      <c r="S13" s="82" t="b">
        <v>0</v>
      </c>
      <c r="T13" s="82" t="b">
        <v>0</v>
      </c>
      <c r="U13" s="82" t="b">
        <v>0</v>
      </c>
      <c r="V13" s="82" t="b">
        <v>0</v>
      </c>
      <c r="W13" s="82" t="b">
        <v>0</v>
      </c>
      <c r="X13" s="44" t="b">
        <v>0</v>
      </c>
      <c r="Y13" s="44" t="b">
        <v>0</v>
      </c>
      <c r="Z13" s="44" t="b">
        <v>0</v>
      </c>
      <c r="AA13" s="44" t="b">
        <v>0</v>
      </c>
      <c r="AB13" s="44" t="b">
        <v>0</v>
      </c>
      <c r="AC13" s="44" t="b">
        <v>0</v>
      </c>
      <c r="AD13" s="44" t="b">
        <v>0</v>
      </c>
      <c r="AE13" s="43" t="b">
        <v>0</v>
      </c>
      <c r="AF13" s="43" t="b">
        <v>0</v>
      </c>
      <c r="AG13" s="9"/>
      <c r="AH13" s="45">
        <f t="shared" si="1"/>
        <v>30</v>
      </c>
      <c r="AI13" s="46">
        <f t="shared" si="2"/>
        <v>0</v>
      </c>
      <c r="AJ13" s="29" t="str">
        <f>IFERROR(__xludf.DUMMYFUNCTION("SPARKLINE(AI13/AH13, {""charttype"",""bar"";""max"",1;""color1"",""#90EE90""})"),"")</f>
        <v/>
      </c>
      <c r="AK13" s="26"/>
      <c r="AL13" s="27"/>
      <c r="AM13" s="9"/>
    </row>
    <row r="14">
      <c r="B14" s="42"/>
      <c r="C14" s="82" t="b">
        <v>0</v>
      </c>
      <c r="D14" s="82" t="b">
        <v>0</v>
      </c>
      <c r="E14" s="82" t="b">
        <v>0</v>
      </c>
      <c r="F14" s="82" t="b">
        <v>0</v>
      </c>
      <c r="G14" s="82" t="b">
        <v>0</v>
      </c>
      <c r="H14" s="82" t="b">
        <v>0</v>
      </c>
      <c r="I14" s="82" t="b">
        <v>0</v>
      </c>
      <c r="J14" s="44" t="b">
        <v>0</v>
      </c>
      <c r="K14" s="44" t="b">
        <v>0</v>
      </c>
      <c r="L14" s="44" t="b">
        <v>0</v>
      </c>
      <c r="M14" s="44" t="b">
        <v>0</v>
      </c>
      <c r="N14" s="44" t="b">
        <v>0</v>
      </c>
      <c r="O14" s="44" t="b">
        <v>0</v>
      </c>
      <c r="P14" s="44" t="b">
        <v>0</v>
      </c>
      <c r="Q14" s="82" t="b">
        <v>0</v>
      </c>
      <c r="R14" s="82" t="b">
        <v>0</v>
      </c>
      <c r="S14" s="82" t="b">
        <v>0</v>
      </c>
      <c r="T14" s="82" t="b">
        <v>0</v>
      </c>
      <c r="U14" s="82" t="b">
        <v>0</v>
      </c>
      <c r="V14" s="82" t="b">
        <v>0</v>
      </c>
      <c r="W14" s="82" t="b">
        <v>0</v>
      </c>
      <c r="X14" s="44" t="b">
        <v>0</v>
      </c>
      <c r="Y14" s="44" t="b">
        <v>0</v>
      </c>
      <c r="Z14" s="44" t="b">
        <v>0</v>
      </c>
      <c r="AA14" s="44" t="b">
        <v>0</v>
      </c>
      <c r="AB14" s="44" t="b">
        <v>0</v>
      </c>
      <c r="AC14" s="44" t="b">
        <v>0</v>
      </c>
      <c r="AD14" s="44" t="b">
        <v>0</v>
      </c>
      <c r="AE14" s="43" t="b">
        <v>0</v>
      </c>
      <c r="AF14" s="43" t="b">
        <v>0</v>
      </c>
      <c r="AG14" s="9"/>
      <c r="AH14" s="45">
        <f t="shared" si="1"/>
        <v>30</v>
      </c>
      <c r="AI14" s="46">
        <f t="shared" si="2"/>
        <v>0</v>
      </c>
      <c r="AJ14" s="29" t="str">
        <f>IFERROR(__xludf.DUMMYFUNCTION("SPARKLINE(AI14/AH14, {""charttype"",""bar"";""max"",1;""color1"",""#90EE90""})"),"")</f>
        <v/>
      </c>
      <c r="AK14" s="26"/>
      <c r="AL14" s="27"/>
      <c r="AM14" s="9"/>
    </row>
    <row r="15">
      <c r="B15" s="42"/>
      <c r="C15" s="82" t="b">
        <v>0</v>
      </c>
      <c r="D15" s="82" t="b">
        <v>0</v>
      </c>
      <c r="E15" s="82" t="b">
        <v>0</v>
      </c>
      <c r="F15" s="82" t="b">
        <v>0</v>
      </c>
      <c r="G15" s="82" t="b">
        <v>0</v>
      </c>
      <c r="H15" s="82" t="b">
        <v>0</v>
      </c>
      <c r="I15" s="82" t="b">
        <v>0</v>
      </c>
      <c r="J15" s="44" t="b">
        <v>0</v>
      </c>
      <c r="K15" s="44" t="b">
        <v>0</v>
      </c>
      <c r="L15" s="44" t="b">
        <v>0</v>
      </c>
      <c r="M15" s="44" t="b">
        <v>0</v>
      </c>
      <c r="N15" s="44" t="b">
        <v>0</v>
      </c>
      <c r="O15" s="44" t="b">
        <v>0</v>
      </c>
      <c r="P15" s="44" t="b">
        <v>0</v>
      </c>
      <c r="Q15" s="82" t="b">
        <v>0</v>
      </c>
      <c r="R15" s="82" t="b">
        <v>0</v>
      </c>
      <c r="S15" s="82" t="b">
        <v>0</v>
      </c>
      <c r="T15" s="82" t="b">
        <v>0</v>
      </c>
      <c r="U15" s="82" t="b">
        <v>0</v>
      </c>
      <c r="V15" s="82" t="b">
        <v>0</v>
      </c>
      <c r="W15" s="82" t="b">
        <v>0</v>
      </c>
      <c r="X15" s="44" t="b">
        <v>0</v>
      </c>
      <c r="Y15" s="44" t="b">
        <v>0</v>
      </c>
      <c r="Z15" s="44" t="b">
        <v>0</v>
      </c>
      <c r="AA15" s="44" t="b">
        <v>0</v>
      </c>
      <c r="AB15" s="44" t="b">
        <v>0</v>
      </c>
      <c r="AC15" s="44" t="b">
        <v>0</v>
      </c>
      <c r="AD15" s="44" t="b">
        <v>0</v>
      </c>
      <c r="AE15" s="43" t="b">
        <v>0</v>
      </c>
      <c r="AF15" s="43" t="b">
        <v>0</v>
      </c>
      <c r="AG15" s="9"/>
      <c r="AH15" s="45">
        <f t="shared" si="1"/>
        <v>30</v>
      </c>
      <c r="AI15" s="46">
        <f t="shared" si="2"/>
        <v>0</v>
      </c>
      <c r="AJ15" s="29" t="str">
        <f>IFERROR(__xludf.DUMMYFUNCTION("SPARKLINE(AI15/AH15, {""charttype"",""bar"";""max"",1;""color1"",""#90EE90""})"),"")</f>
        <v/>
      </c>
      <c r="AK15" s="26"/>
      <c r="AL15" s="27"/>
      <c r="AM15" s="9"/>
    </row>
    <row r="16">
      <c r="B16" s="42"/>
      <c r="C16" s="82" t="b">
        <v>0</v>
      </c>
      <c r="D16" s="82" t="b">
        <v>0</v>
      </c>
      <c r="E16" s="82" t="b">
        <v>0</v>
      </c>
      <c r="F16" s="82" t="b">
        <v>0</v>
      </c>
      <c r="G16" s="82" t="b">
        <v>0</v>
      </c>
      <c r="H16" s="82" t="b">
        <v>0</v>
      </c>
      <c r="I16" s="82" t="b">
        <v>0</v>
      </c>
      <c r="J16" s="44" t="b">
        <v>0</v>
      </c>
      <c r="K16" s="44" t="b">
        <v>0</v>
      </c>
      <c r="L16" s="44" t="b">
        <v>0</v>
      </c>
      <c r="M16" s="44" t="b">
        <v>0</v>
      </c>
      <c r="N16" s="44" t="b">
        <v>0</v>
      </c>
      <c r="O16" s="44" t="b">
        <v>0</v>
      </c>
      <c r="P16" s="44" t="b">
        <v>0</v>
      </c>
      <c r="Q16" s="82" t="b">
        <v>0</v>
      </c>
      <c r="R16" s="82" t="b">
        <v>0</v>
      </c>
      <c r="S16" s="82" t="b">
        <v>0</v>
      </c>
      <c r="T16" s="82" t="b">
        <v>0</v>
      </c>
      <c r="U16" s="82" t="b">
        <v>0</v>
      </c>
      <c r="V16" s="82" t="b">
        <v>0</v>
      </c>
      <c r="W16" s="82" t="b">
        <v>0</v>
      </c>
      <c r="X16" s="44" t="b">
        <v>0</v>
      </c>
      <c r="Y16" s="44" t="b">
        <v>0</v>
      </c>
      <c r="Z16" s="44" t="b">
        <v>0</v>
      </c>
      <c r="AA16" s="44" t="b">
        <v>0</v>
      </c>
      <c r="AB16" s="44" t="b">
        <v>0</v>
      </c>
      <c r="AC16" s="44" t="b">
        <v>0</v>
      </c>
      <c r="AD16" s="44" t="b">
        <v>0</v>
      </c>
      <c r="AE16" s="43" t="b">
        <v>0</v>
      </c>
      <c r="AF16" s="43" t="b">
        <v>0</v>
      </c>
      <c r="AG16" s="9"/>
      <c r="AH16" s="45">
        <f t="shared" si="1"/>
        <v>30</v>
      </c>
      <c r="AI16" s="46">
        <f t="shared" si="2"/>
        <v>0</v>
      </c>
      <c r="AJ16" s="29" t="str">
        <f>IFERROR(__xludf.DUMMYFUNCTION("SPARKLINE(AI16/AH16, {""charttype"",""bar"";""max"",1;""color1"",""#90EE90""})"),"")</f>
        <v/>
      </c>
      <c r="AK16" s="26"/>
      <c r="AL16" s="27"/>
      <c r="AM16" s="9"/>
    </row>
    <row r="17">
      <c r="B17" s="42"/>
      <c r="C17" s="82" t="b">
        <v>0</v>
      </c>
      <c r="D17" s="82" t="b">
        <v>0</v>
      </c>
      <c r="E17" s="82" t="b">
        <v>0</v>
      </c>
      <c r="F17" s="82" t="b">
        <v>0</v>
      </c>
      <c r="G17" s="82" t="b">
        <v>0</v>
      </c>
      <c r="H17" s="82" t="b">
        <v>0</v>
      </c>
      <c r="I17" s="82" t="b">
        <v>0</v>
      </c>
      <c r="J17" s="44" t="b">
        <v>0</v>
      </c>
      <c r="K17" s="44" t="b">
        <v>0</v>
      </c>
      <c r="L17" s="44" t="b">
        <v>0</v>
      </c>
      <c r="M17" s="44" t="b">
        <v>0</v>
      </c>
      <c r="N17" s="44" t="b">
        <v>0</v>
      </c>
      <c r="O17" s="44" t="b">
        <v>0</v>
      </c>
      <c r="P17" s="44" t="b">
        <v>0</v>
      </c>
      <c r="Q17" s="82" t="b">
        <v>0</v>
      </c>
      <c r="R17" s="82" t="b">
        <v>0</v>
      </c>
      <c r="S17" s="82" t="b">
        <v>0</v>
      </c>
      <c r="T17" s="82" t="b">
        <v>0</v>
      </c>
      <c r="U17" s="82" t="b">
        <v>0</v>
      </c>
      <c r="V17" s="82" t="b">
        <v>0</v>
      </c>
      <c r="W17" s="82" t="b">
        <v>0</v>
      </c>
      <c r="X17" s="44" t="b">
        <v>0</v>
      </c>
      <c r="Y17" s="44" t="b">
        <v>0</v>
      </c>
      <c r="Z17" s="44" t="b">
        <v>0</v>
      </c>
      <c r="AA17" s="44" t="b">
        <v>0</v>
      </c>
      <c r="AB17" s="44" t="b">
        <v>0</v>
      </c>
      <c r="AC17" s="44" t="b">
        <v>0</v>
      </c>
      <c r="AD17" s="44" t="b">
        <v>0</v>
      </c>
      <c r="AE17" s="43" t="b">
        <v>0</v>
      </c>
      <c r="AF17" s="43" t="b">
        <v>0</v>
      </c>
      <c r="AG17" s="9"/>
      <c r="AH17" s="45">
        <f t="shared" si="1"/>
        <v>30</v>
      </c>
      <c r="AI17" s="46">
        <f t="shared" si="2"/>
        <v>0</v>
      </c>
      <c r="AJ17" s="29" t="str">
        <f>IFERROR(__xludf.DUMMYFUNCTION("SPARKLINE(AI17/AH17, {""charttype"",""bar"";""max"",1;""color1"",""#90EE90""})"),"")</f>
        <v/>
      </c>
      <c r="AK17" s="26"/>
      <c r="AL17" s="27"/>
      <c r="AM17" s="9"/>
    </row>
    <row r="18">
      <c r="B18" s="42"/>
      <c r="C18" s="82" t="b">
        <v>0</v>
      </c>
      <c r="D18" s="82" t="b">
        <v>0</v>
      </c>
      <c r="E18" s="82" t="b">
        <v>0</v>
      </c>
      <c r="F18" s="82" t="b">
        <v>0</v>
      </c>
      <c r="G18" s="82" t="b">
        <v>0</v>
      </c>
      <c r="H18" s="82" t="b">
        <v>0</v>
      </c>
      <c r="I18" s="82" t="b">
        <v>0</v>
      </c>
      <c r="J18" s="44" t="b">
        <v>0</v>
      </c>
      <c r="K18" s="44" t="b">
        <v>0</v>
      </c>
      <c r="L18" s="44" t="b">
        <v>0</v>
      </c>
      <c r="M18" s="44" t="b">
        <v>0</v>
      </c>
      <c r="N18" s="44" t="b">
        <v>0</v>
      </c>
      <c r="O18" s="44" t="b">
        <v>0</v>
      </c>
      <c r="P18" s="44" t="b">
        <v>0</v>
      </c>
      <c r="Q18" s="82" t="b">
        <v>0</v>
      </c>
      <c r="R18" s="82" t="b">
        <v>0</v>
      </c>
      <c r="S18" s="82" t="b">
        <v>0</v>
      </c>
      <c r="T18" s="82" t="b">
        <v>0</v>
      </c>
      <c r="U18" s="82" t="b">
        <v>0</v>
      </c>
      <c r="V18" s="82" t="b">
        <v>0</v>
      </c>
      <c r="W18" s="82" t="b">
        <v>0</v>
      </c>
      <c r="X18" s="44" t="b">
        <v>0</v>
      </c>
      <c r="Y18" s="44" t="b">
        <v>0</v>
      </c>
      <c r="Z18" s="44" t="b">
        <v>0</v>
      </c>
      <c r="AA18" s="44" t="b">
        <v>0</v>
      </c>
      <c r="AB18" s="44" t="b">
        <v>0</v>
      </c>
      <c r="AC18" s="44" t="b">
        <v>0</v>
      </c>
      <c r="AD18" s="44" t="b">
        <v>0</v>
      </c>
      <c r="AE18" s="43" t="b">
        <v>0</v>
      </c>
      <c r="AF18" s="43" t="b">
        <v>0</v>
      </c>
      <c r="AG18" s="9"/>
      <c r="AH18" s="45">
        <f t="shared" si="1"/>
        <v>30</v>
      </c>
      <c r="AI18" s="46">
        <f t="shared" si="2"/>
        <v>0</v>
      </c>
      <c r="AJ18" s="29" t="str">
        <f>IFERROR(__xludf.DUMMYFUNCTION("SPARKLINE(AI18/AH18, {""charttype"",""bar"";""max"",1;""color1"",""#90EE90""})"),"")</f>
        <v/>
      </c>
      <c r="AK18" s="26"/>
      <c r="AL18" s="27"/>
      <c r="AM18" s="9"/>
    </row>
    <row r="19">
      <c r="B19" s="42"/>
      <c r="C19" s="82" t="b">
        <v>0</v>
      </c>
      <c r="D19" s="82" t="b">
        <v>0</v>
      </c>
      <c r="E19" s="82" t="b">
        <v>0</v>
      </c>
      <c r="F19" s="82" t="b">
        <v>0</v>
      </c>
      <c r="G19" s="82" t="b">
        <v>0</v>
      </c>
      <c r="H19" s="82" t="b">
        <v>0</v>
      </c>
      <c r="I19" s="82" t="b">
        <v>0</v>
      </c>
      <c r="J19" s="44" t="b">
        <v>0</v>
      </c>
      <c r="K19" s="44" t="b">
        <v>0</v>
      </c>
      <c r="L19" s="44" t="b">
        <v>0</v>
      </c>
      <c r="M19" s="44" t="b">
        <v>0</v>
      </c>
      <c r="N19" s="44" t="b">
        <v>0</v>
      </c>
      <c r="O19" s="44" t="b">
        <v>0</v>
      </c>
      <c r="P19" s="44" t="b">
        <v>0</v>
      </c>
      <c r="Q19" s="82" t="b">
        <v>0</v>
      </c>
      <c r="R19" s="82" t="b">
        <v>0</v>
      </c>
      <c r="S19" s="82" t="b">
        <v>0</v>
      </c>
      <c r="T19" s="82" t="b">
        <v>0</v>
      </c>
      <c r="U19" s="82" t="b">
        <v>0</v>
      </c>
      <c r="V19" s="82" t="b">
        <v>0</v>
      </c>
      <c r="W19" s="82" t="b">
        <v>0</v>
      </c>
      <c r="X19" s="44" t="b">
        <v>0</v>
      </c>
      <c r="Y19" s="44" t="b">
        <v>0</v>
      </c>
      <c r="Z19" s="44" t="b">
        <v>0</v>
      </c>
      <c r="AA19" s="44" t="b">
        <v>0</v>
      </c>
      <c r="AB19" s="44" t="b">
        <v>0</v>
      </c>
      <c r="AC19" s="44" t="b">
        <v>0</v>
      </c>
      <c r="AD19" s="44" t="b">
        <v>0</v>
      </c>
      <c r="AE19" s="43" t="b">
        <v>0</v>
      </c>
      <c r="AF19" s="43" t="b">
        <v>0</v>
      </c>
      <c r="AG19" s="9"/>
      <c r="AH19" s="45">
        <f t="shared" si="1"/>
        <v>30</v>
      </c>
      <c r="AI19" s="46">
        <f t="shared" si="2"/>
        <v>0</v>
      </c>
      <c r="AJ19" s="29" t="str">
        <f>IFERROR(__xludf.DUMMYFUNCTION("SPARKLINE(AI19/AH19, {""charttype"",""bar"";""max"",1;""color1"",""#90EE90""})"),"")</f>
        <v/>
      </c>
      <c r="AK19" s="26"/>
      <c r="AL19" s="27"/>
      <c r="AM19" s="9"/>
    </row>
    <row r="20">
      <c r="B20" s="47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</row>
    <row r="21">
      <c r="B21" s="40" t="s">
        <v>11</v>
      </c>
      <c r="C21" s="49">
        <f t="shared" ref="C21:AF21" si="3">COUNTIF(C10:C19, TRUE)/COUNTA(C10:C19)</f>
        <v>0</v>
      </c>
      <c r="D21" s="49">
        <f t="shared" si="3"/>
        <v>0</v>
      </c>
      <c r="E21" s="49">
        <f t="shared" si="3"/>
        <v>0</v>
      </c>
      <c r="F21" s="49">
        <f t="shared" si="3"/>
        <v>0</v>
      </c>
      <c r="G21" s="49">
        <f t="shared" si="3"/>
        <v>0</v>
      </c>
      <c r="H21" s="49">
        <f t="shared" si="3"/>
        <v>0</v>
      </c>
      <c r="I21" s="49">
        <f t="shared" si="3"/>
        <v>0</v>
      </c>
      <c r="J21" s="49">
        <f t="shared" si="3"/>
        <v>0</v>
      </c>
      <c r="K21" s="49">
        <f t="shared" si="3"/>
        <v>0</v>
      </c>
      <c r="L21" s="49">
        <f t="shared" si="3"/>
        <v>0</v>
      </c>
      <c r="M21" s="49">
        <f t="shared" si="3"/>
        <v>0</v>
      </c>
      <c r="N21" s="49">
        <f t="shared" si="3"/>
        <v>0</v>
      </c>
      <c r="O21" s="49">
        <f t="shared" si="3"/>
        <v>0</v>
      </c>
      <c r="P21" s="49">
        <f t="shared" si="3"/>
        <v>0</v>
      </c>
      <c r="Q21" s="49">
        <f t="shared" si="3"/>
        <v>0</v>
      </c>
      <c r="R21" s="49">
        <f t="shared" si="3"/>
        <v>0</v>
      </c>
      <c r="S21" s="49">
        <f t="shared" si="3"/>
        <v>0</v>
      </c>
      <c r="T21" s="49">
        <f t="shared" si="3"/>
        <v>0</v>
      </c>
      <c r="U21" s="49">
        <f t="shared" si="3"/>
        <v>0</v>
      </c>
      <c r="V21" s="49">
        <f t="shared" si="3"/>
        <v>0</v>
      </c>
      <c r="W21" s="49">
        <f t="shared" si="3"/>
        <v>0</v>
      </c>
      <c r="X21" s="49">
        <f t="shared" si="3"/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B21" s="49">
        <f t="shared" si="3"/>
        <v>0</v>
      </c>
      <c r="AC21" s="49">
        <f t="shared" si="3"/>
        <v>0</v>
      </c>
      <c r="AD21" s="49">
        <f t="shared" si="3"/>
        <v>0</v>
      </c>
      <c r="AE21" s="49">
        <f t="shared" si="3"/>
        <v>0</v>
      </c>
      <c r="AF21" s="49">
        <f t="shared" si="3"/>
        <v>0</v>
      </c>
    </row>
    <row r="22">
      <c r="B22" s="40" t="s">
        <v>38</v>
      </c>
      <c r="C22" s="46">
        <f t="shared" ref="C22:AF22" si="4">COUNTIF(C10:C19, TRUE)</f>
        <v>0</v>
      </c>
      <c r="D22" s="46">
        <f t="shared" si="4"/>
        <v>0</v>
      </c>
      <c r="E22" s="46">
        <f t="shared" si="4"/>
        <v>0</v>
      </c>
      <c r="F22" s="46">
        <f t="shared" si="4"/>
        <v>0</v>
      </c>
      <c r="G22" s="46">
        <f t="shared" si="4"/>
        <v>0</v>
      </c>
      <c r="H22" s="46">
        <f t="shared" si="4"/>
        <v>0</v>
      </c>
      <c r="I22" s="46">
        <f t="shared" si="4"/>
        <v>0</v>
      </c>
      <c r="J22" s="46">
        <f t="shared" si="4"/>
        <v>0</v>
      </c>
      <c r="K22" s="46">
        <f t="shared" si="4"/>
        <v>0</v>
      </c>
      <c r="L22" s="46">
        <f t="shared" si="4"/>
        <v>0</v>
      </c>
      <c r="M22" s="46">
        <f t="shared" si="4"/>
        <v>0</v>
      </c>
      <c r="N22" s="46">
        <f t="shared" si="4"/>
        <v>0</v>
      </c>
      <c r="O22" s="46">
        <f t="shared" si="4"/>
        <v>0</v>
      </c>
      <c r="P22" s="46">
        <f t="shared" si="4"/>
        <v>0</v>
      </c>
      <c r="Q22" s="46">
        <f t="shared" si="4"/>
        <v>0</v>
      </c>
      <c r="R22" s="46">
        <f t="shared" si="4"/>
        <v>0</v>
      </c>
      <c r="S22" s="46">
        <f t="shared" si="4"/>
        <v>0</v>
      </c>
      <c r="T22" s="46">
        <f t="shared" si="4"/>
        <v>0</v>
      </c>
      <c r="U22" s="46">
        <f t="shared" si="4"/>
        <v>0</v>
      </c>
      <c r="V22" s="46">
        <f t="shared" si="4"/>
        <v>0</v>
      </c>
      <c r="W22" s="46">
        <f t="shared" si="4"/>
        <v>0</v>
      </c>
      <c r="X22" s="46">
        <f t="shared" si="4"/>
        <v>0</v>
      </c>
      <c r="Y22" s="46">
        <f t="shared" si="4"/>
        <v>0</v>
      </c>
      <c r="Z22" s="46">
        <f t="shared" si="4"/>
        <v>0</v>
      </c>
      <c r="AA22" s="46">
        <f t="shared" si="4"/>
        <v>0</v>
      </c>
      <c r="AB22" s="46">
        <f t="shared" si="4"/>
        <v>0</v>
      </c>
      <c r="AC22" s="46">
        <f t="shared" si="4"/>
        <v>0</v>
      </c>
      <c r="AD22" s="46">
        <f t="shared" si="4"/>
        <v>0</v>
      </c>
      <c r="AE22" s="46">
        <f t="shared" si="4"/>
        <v>0</v>
      </c>
      <c r="AF22" s="46">
        <f t="shared" si="4"/>
        <v>0</v>
      </c>
    </row>
    <row r="23">
      <c r="B23" s="40" t="s">
        <v>39</v>
      </c>
      <c r="C23" s="46">
        <f t="shared" ref="C23:AF23" si="5">COUNTIF(C10:C19, FALSE)</f>
        <v>10</v>
      </c>
      <c r="D23" s="46">
        <f t="shared" si="5"/>
        <v>10</v>
      </c>
      <c r="E23" s="46">
        <f t="shared" si="5"/>
        <v>10</v>
      </c>
      <c r="F23" s="46">
        <f t="shared" si="5"/>
        <v>10</v>
      </c>
      <c r="G23" s="46">
        <f t="shared" si="5"/>
        <v>10</v>
      </c>
      <c r="H23" s="46">
        <f t="shared" si="5"/>
        <v>10</v>
      </c>
      <c r="I23" s="46">
        <f t="shared" si="5"/>
        <v>10</v>
      </c>
      <c r="J23" s="46">
        <f t="shared" si="5"/>
        <v>10</v>
      </c>
      <c r="K23" s="46">
        <f t="shared" si="5"/>
        <v>10</v>
      </c>
      <c r="L23" s="46">
        <f t="shared" si="5"/>
        <v>10</v>
      </c>
      <c r="M23" s="46">
        <f t="shared" si="5"/>
        <v>10</v>
      </c>
      <c r="N23" s="46">
        <f t="shared" si="5"/>
        <v>10</v>
      </c>
      <c r="O23" s="46">
        <f t="shared" si="5"/>
        <v>10</v>
      </c>
      <c r="P23" s="46">
        <f t="shared" si="5"/>
        <v>10</v>
      </c>
      <c r="Q23" s="46">
        <f t="shared" si="5"/>
        <v>10</v>
      </c>
      <c r="R23" s="46">
        <f t="shared" si="5"/>
        <v>10</v>
      </c>
      <c r="S23" s="46">
        <f t="shared" si="5"/>
        <v>10</v>
      </c>
      <c r="T23" s="46">
        <f t="shared" si="5"/>
        <v>10</v>
      </c>
      <c r="U23" s="46">
        <f t="shared" si="5"/>
        <v>10</v>
      </c>
      <c r="V23" s="46">
        <f t="shared" si="5"/>
        <v>10</v>
      </c>
      <c r="W23" s="46">
        <f t="shared" si="5"/>
        <v>10</v>
      </c>
      <c r="X23" s="46">
        <f t="shared" si="5"/>
        <v>10</v>
      </c>
      <c r="Y23" s="46">
        <f t="shared" si="5"/>
        <v>10</v>
      </c>
      <c r="Z23" s="46">
        <f t="shared" si="5"/>
        <v>10</v>
      </c>
      <c r="AA23" s="46">
        <f t="shared" si="5"/>
        <v>10</v>
      </c>
      <c r="AB23" s="46">
        <f t="shared" si="5"/>
        <v>10</v>
      </c>
      <c r="AC23" s="46">
        <f t="shared" si="5"/>
        <v>10</v>
      </c>
      <c r="AD23" s="46">
        <f t="shared" si="5"/>
        <v>10</v>
      </c>
      <c r="AE23" s="46">
        <f t="shared" si="5"/>
        <v>10</v>
      </c>
      <c r="AF23" s="46">
        <f t="shared" si="5"/>
        <v>10</v>
      </c>
    </row>
    <row r="33">
      <c r="B33" s="50"/>
      <c r="C33" s="41" t="s">
        <v>40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>
      <c r="B34" s="40" t="s">
        <v>41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</row>
    <row r="35">
      <c r="B35" s="40" t="s">
        <v>42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</row>
    <row r="36">
      <c r="C36" s="53">
        <f t="shared" ref="C36:AF36" si="6">(C35+C34)/20</f>
        <v>0</v>
      </c>
      <c r="D36" s="53">
        <f t="shared" si="6"/>
        <v>0</v>
      </c>
      <c r="E36" s="53">
        <f t="shared" si="6"/>
        <v>0</v>
      </c>
      <c r="F36" s="53">
        <f t="shared" si="6"/>
        <v>0</v>
      </c>
      <c r="G36" s="53">
        <f t="shared" si="6"/>
        <v>0</v>
      </c>
      <c r="H36" s="53">
        <f t="shared" si="6"/>
        <v>0</v>
      </c>
      <c r="I36" s="53">
        <f t="shared" si="6"/>
        <v>0</v>
      </c>
      <c r="J36" s="53">
        <f t="shared" si="6"/>
        <v>0</v>
      </c>
      <c r="K36" s="53">
        <f t="shared" si="6"/>
        <v>0</v>
      </c>
      <c r="L36" s="53">
        <f t="shared" si="6"/>
        <v>0</v>
      </c>
      <c r="M36" s="53">
        <f t="shared" si="6"/>
        <v>0</v>
      </c>
      <c r="N36" s="53">
        <f t="shared" si="6"/>
        <v>0</v>
      </c>
      <c r="O36" s="53">
        <f t="shared" si="6"/>
        <v>0</v>
      </c>
      <c r="P36" s="53">
        <f t="shared" si="6"/>
        <v>0</v>
      </c>
      <c r="Q36" s="53">
        <f t="shared" si="6"/>
        <v>0</v>
      </c>
      <c r="R36" s="53">
        <f t="shared" si="6"/>
        <v>0</v>
      </c>
      <c r="S36" s="53">
        <f t="shared" si="6"/>
        <v>0</v>
      </c>
      <c r="T36" s="53">
        <f t="shared" si="6"/>
        <v>0</v>
      </c>
      <c r="U36" s="53">
        <f t="shared" si="6"/>
        <v>0</v>
      </c>
      <c r="V36" s="53">
        <f t="shared" si="6"/>
        <v>0</v>
      </c>
      <c r="W36" s="53">
        <f t="shared" si="6"/>
        <v>0</v>
      </c>
      <c r="X36" s="53">
        <f t="shared" si="6"/>
        <v>0</v>
      </c>
      <c r="Y36" s="53">
        <f t="shared" si="6"/>
        <v>0</v>
      </c>
      <c r="Z36" s="53">
        <f t="shared" si="6"/>
        <v>0</v>
      </c>
      <c r="AA36" s="53">
        <f t="shared" si="6"/>
        <v>0</v>
      </c>
      <c r="AB36" s="53">
        <f t="shared" si="6"/>
        <v>0</v>
      </c>
      <c r="AC36" s="53">
        <f t="shared" si="6"/>
        <v>0</v>
      </c>
      <c r="AD36" s="53">
        <f t="shared" si="6"/>
        <v>0</v>
      </c>
      <c r="AE36" s="53">
        <f t="shared" si="6"/>
        <v>0</v>
      </c>
      <c r="AF36" s="53">
        <f t="shared" si="6"/>
        <v>0</v>
      </c>
    </row>
  </sheetData>
  <mergeCells count="28">
    <mergeCell ref="AB3:AD3"/>
    <mergeCell ref="AB4:AD4"/>
    <mergeCell ref="B3:H4"/>
    <mergeCell ref="J3:N3"/>
    <mergeCell ref="P3:T3"/>
    <mergeCell ref="V3:Z3"/>
    <mergeCell ref="J4:N4"/>
    <mergeCell ref="P4:T4"/>
    <mergeCell ref="V4:Z4"/>
    <mergeCell ref="B7:B9"/>
    <mergeCell ref="C7:I7"/>
    <mergeCell ref="J7:P7"/>
    <mergeCell ref="Q7:W7"/>
    <mergeCell ref="X7:AD7"/>
    <mergeCell ref="AE7:AF7"/>
    <mergeCell ref="AH7:AL8"/>
    <mergeCell ref="AJ16:AL16"/>
    <mergeCell ref="AJ17:AL17"/>
    <mergeCell ref="AJ18:AL18"/>
    <mergeCell ref="AJ19:AL19"/>
    <mergeCell ref="C33:AF33"/>
    <mergeCell ref="AJ9:AL9"/>
    <mergeCell ref="AJ10:AL10"/>
    <mergeCell ref="AJ11:AL11"/>
    <mergeCell ref="AJ12:AL12"/>
    <mergeCell ref="AJ13:AL13"/>
    <mergeCell ref="AJ14:AL14"/>
    <mergeCell ref="AJ15:AL15"/>
  </mergeCells>
  <dataValidations>
    <dataValidation type="list" allowBlank="1" showErrorMessage="1" sqref="C34:AF35">
      <formula1>"10,9,8,7,6,5,4,3,2,1,0"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23.25"/>
    <col customWidth="1" min="3" max="34" width="4.13"/>
    <col customWidth="1" min="35" max="35" width="10.0"/>
    <col customWidth="1" min="36" max="36" width="8.0"/>
    <col customWidth="1" min="37" max="40" width="4.13"/>
  </cols>
  <sheetData>
    <row r="2">
      <c r="B2" s="64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6"/>
      <c r="AN2" s="9"/>
    </row>
    <row r="3">
      <c r="B3" s="10" t="s">
        <v>69</v>
      </c>
      <c r="I3" s="67"/>
      <c r="J3" s="68" t="s">
        <v>70</v>
      </c>
      <c r="O3" s="69"/>
      <c r="P3" s="68" t="s">
        <v>10</v>
      </c>
      <c r="U3" s="69"/>
      <c r="V3" s="68" t="s">
        <v>11</v>
      </c>
      <c r="AA3" s="69"/>
      <c r="AB3" s="68" t="s">
        <v>12</v>
      </c>
      <c r="AE3" s="12"/>
      <c r="AF3" s="12"/>
      <c r="AG3" s="12"/>
      <c r="AH3" s="70"/>
      <c r="AI3" s="71"/>
      <c r="AJ3" s="71"/>
      <c r="AK3" s="71"/>
      <c r="AL3" s="71"/>
      <c r="AM3" s="72"/>
      <c r="AN3" s="9"/>
    </row>
    <row r="4">
      <c r="B4" s="17"/>
      <c r="I4" s="67"/>
      <c r="J4" s="71">
        <f>COUNTA($B$10:$B$19)</f>
        <v>0</v>
      </c>
      <c r="O4" s="70"/>
      <c r="P4" s="71">
        <f>COUNTIF($C$10:$AF$19, TRUE)</f>
        <v>0</v>
      </c>
      <c r="U4" s="70"/>
      <c r="V4" s="73" t="str">
        <f>IFERROR(__xludf.DUMMYFUNCTION("SPARKLINE(AB4, {""charttype"",""bar"";""max"",1;""color1"",""#90EE90""})"),"")</f>
        <v/>
      </c>
      <c r="AA4" s="70"/>
      <c r="AB4" s="74">
        <f>(P4)/(COUNTA($C$10:$C$19)*COUNTA($C$10:$AG$10))</f>
        <v>0</v>
      </c>
      <c r="AE4" s="74"/>
      <c r="AF4" s="74"/>
      <c r="AG4" s="74"/>
      <c r="AH4" s="70"/>
      <c r="AI4" s="71"/>
      <c r="AJ4" s="71"/>
      <c r="AK4" s="71"/>
      <c r="AL4" s="71"/>
      <c r="AM4" s="72"/>
      <c r="AN4" s="9"/>
    </row>
    <row r="5">
      <c r="B5" s="75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7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8"/>
      <c r="AN5" s="9"/>
    </row>
    <row r="6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>
      <c r="B7" s="24" t="s">
        <v>13</v>
      </c>
      <c r="C7" s="25" t="s">
        <v>14</v>
      </c>
      <c r="D7" s="26"/>
      <c r="E7" s="26"/>
      <c r="F7" s="26"/>
      <c r="G7" s="26"/>
      <c r="H7" s="26"/>
      <c r="I7" s="27"/>
      <c r="J7" s="28" t="s">
        <v>15</v>
      </c>
      <c r="K7" s="26"/>
      <c r="L7" s="26"/>
      <c r="M7" s="26"/>
      <c r="N7" s="26"/>
      <c r="O7" s="26"/>
      <c r="P7" s="27"/>
      <c r="Q7" s="25" t="s">
        <v>16</v>
      </c>
      <c r="R7" s="26"/>
      <c r="S7" s="26"/>
      <c r="T7" s="26"/>
      <c r="U7" s="26"/>
      <c r="V7" s="26"/>
      <c r="W7" s="27"/>
      <c r="X7" s="28" t="s">
        <v>17</v>
      </c>
      <c r="Y7" s="26"/>
      <c r="Z7" s="26"/>
      <c r="AA7" s="26"/>
      <c r="AB7" s="26"/>
      <c r="AC7" s="26"/>
      <c r="AD7" s="27"/>
      <c r="AE7" s="29"/>
      <c r="AF7" s="27"/>
      <c r="AG7" s="89"/>
      <c r="AH7" s="9"/>
      <c r="AI7" s="30" t="s">
        <v>18</v>
      </c>
      <c r="AJ7" s="31"/>
      <c r="AK7" s="31"/>
      <c r="AL7" s="31"/>
      <c r="AM7" s="32"/>
    </row>
    <row r="8">
      <c r="B8" s="33"/>
      <c r="C8" s="34" t="s">
        <v>22</v>
      </c>
      <c r="D8" s="34" t="s">
        <v>23</v>
      </c>
      <c r="E8" s="34" t="s">
        <v>24</v>
      </c>
      <c r="F8" s="34" t="s">
        <v>25</v>
      </c>
      <c r="G8" s="34" t="s">
        <v>19</v>
      </c>
      <c r="H8" s="34" t="s">
        <v>20</v>
      </c>
      <c r="I8" s="34" t="s">
        <v>21</v>
      </c>
      <c r="J8" s="35" t="s">
        <v>22</v>
      </c>
      <c r="K8" s="35" t="s">
        <v>23</v>
      </c>
      <c r="L8" s="35" t="s">
        <v>24</v>
      </c>
      <c r="M8" s="35" t="s">
        <v>25</v>
      </c>
      <c r="N8" s="35" t="s">
        <v>19</v>
      </c>
      <c r="O8" s="35" t="s">
        <v>20</v>
      </c>
      <c r="P8" s="35" t="s">
        <v>21</v>
      </c>
      <c r="Q8" s="34" t="s">
        <v>22</v>
      </c>
      <c r="R8" s="34" t="s">
        <v>23</v>
      </c>
      <c r="S8" s="34" t="s">
        <v>24</v>
      </c>
      <c r="T8" s="34" t="s">
        <v>25</v>
      </c>
      <c r="U8" s="34" t="s">
        <v>19</v>
      </c>
      <c r="V8" s="34" t="s">
        <v>20</v>
      </c>
      <c r="W8" s="34" t="s">
        <v>21</v>
      </c>
      <c r="X8" s="35" t="s">
        <v>22</v>
      </c>
      <c r="Y8" s="35" t="s">
        <v>23</v>
      </c>
      <c r="Z8" s="35" t="s">
        <v>24</v>
      </c>
      <c r="AA8" s="35" t="s">
        <v>25</v>
      </c>
      <c r="AB8" s="35" t="s">
        <v>19</v>
      </c>
      <c r="AC8" s="35" t="s">
        <v>20</v>
      </c>
      <c r="AD8" s="35" t="s">
        <v>21</v>
      </c>
      <c r="AE8" s="34" t="s">
        <v>22</v>
      </c>
      <c r="AF8" s="34" t="s">
        <v>23</v>
      </c>
      <c r="AG8" s="34" t="s">
        <v>24</v>
      </c>
      <c r="AH8" s="9"/>
      <c r="AI8" s="36"/>
      <c r="AJ8" s="37"/>
      <c r="AK8" s="37"/>
      <c r="AL8" s="37"/>
      <c r="AM8" s="38"/>
    </row>
    <row r="9">
      <c r="B9" s="39"/>
      <c r="C9" s="34">
        <v>1.0</v>
      </c>
      <c r="D9" s="34">
        <v>2.0</v>
      </c>
      <c r="E9" s="34">
        <v>3.0</v>
      </c>
      <c r="F9" s="34">
        <v>4.0</v>
      </c>
      <c r="G9" s="34">
        <v>5.0</v>
      </c>
      <c r="H9" s="34">
        <v>6.0</v>
      </c>
      <c r="I9" s="34">
        <v>7.0</v>
      </c>
      <c r="J9" s="35">
        <v>8.0</v>
      </c>
      <c r="K9" s="35">
        <v>9.0</v>
      </c>
      <c r="L9" s="35">
        <v>10.0</v>
      </c>
      <c r="M9" s="35">
        <v>11.0</v>
      </c>
      <c r="N9" s="35">
        <v>12.0</v>
      </c>
      <c r="O9" s="35">
        <v>13.0</v>
      </c>
      <c r="P9" s="35">
        <v>14.0</v>
      </c>
      <c r="Q9" s="34">
        <v>15.0</v>
      </c>
      <c r="R9" s="34">
        <v>16.0</v>
      </c>
      <c r="S9" s="34">
        <v>17.0</v>
      </c>
      <c r="T9" s="34">
        <v>18.0</v>
      </c>
      <c r="U9" s="34">
        <v>19.0</v>
      </c>
      <c r="V9" s="34">
        <v>20.0</v>
      </c>
      <c r="W9" s="34">
        <v>21.0</v>
      </c>
      <c r="X9" s="35">
        <v>22.0</v>
      </c>
      <c r="Y9" s="35">
        <v>23.0</v>
      </c>
      <c r="Z9" s="35">
        <v>24.0</v>
      </c>
      <c r="AA9" s="35">
        <v>25.0</v>
      </c>
      <c r="AB9" s="35">
        <v>26.0</v>
      </c>
      <c r="AC9" s="35">
        <v>27.0</v>
      </c>
      <c r="AD9" s="35">
        <v>28.0</v>
      </c>
      <c r="AE9" s="34">
        <v>29.0</v>
      </c>
      <c r="AF9" s="34">
        <v>30.0</v>
      </c>
      <c r="AG9" s="34">
        <v>31.0</v>
      </c>
      <c r="AH9" s="9"/>
      <c r="AI9" s="40" t="s">
        <v>26</v>
      </c>
      <c r="AJ9" s="40" t="s">
        <v>27</v>
      </c>
      <c r="AK9" s="41" t="s">
        <v>11</v>
      </c>
      <c r="AL9" s="26"/>
      <c r="AM9" s="27"/>
    </row>
    <row r="10">
      <c r="B10" s="42"/>
      <c r="C10" s="82" t="b">
        <v>0</v>
      </c>
      <c r="D10" s="82" t="b">
        <v>0</v>
      </c>
      <c r="E10" s="82" t="b">
        <v>0</v>
      </c>
      <c r="F10" s="82" t="b">
        <v>0</v>
      </c>
      <c r="G10" s="82" t="b">
        <v>0</v>
      </c>
      <c r="H10" s="82" t="b">
        <v>0</v>
      </c>
      <c r="I10" s="82" t="b">
        <v>0</v>
      </c>
      <c r="J10" s="44" t="b">
        <v>0</v>
      </c>
      <c r="K10" s="44" t="b">
        <v>0</v>
      </c>
      <c r="L10" s="44" t="b">
        <v>0</v>
      </c>
      <c r="M10" s="44" t="b">
        <v>0</v>
      </c>
      <c r="N10" s="44" t="b">
        <v>0</v>
      </c>
      <c r="O10" s="44" t="b">
        <v>0</v>
      </c>
      <c r="P10" s="44" t="b">
        <v>0</v>
      </c>
      <c r="Q10" s="82" t="b">
        <v>0</v>
      </c>
      <c r="R10" s="82" t="b">
        <v>0</v>
      </c>
      <c r="S10" s="82" t="b">
        <v>0</v>
      </c>
      <c r="T10" s="82" t="b">
        <v>0</v>
      </c>
      <c r="U10" s="82" t="b">
        <v>0</v>
      </c>
      <c r="V10" s="82" t="b">
        <v>0</v>
      </c>
      <c r="W10" s="82" t="b">
        <v>0</v>
      </c>
      <c r="X10" s="44" t="b">
        <v>0</v>
      </c>
      <c r="Y10" s="44" t="b">
        <v>0</v>
      </c>
      <c r="Z10" s="44" t="b">
        <v>0</v>
      </c>
      <c r="AA10" s="44" t="b">
        <v>0</v>
      </c>
      <c r="AB10" s="44" t="b">
        <v>0</v>
      </c>
      <c r="AC10" s="44" t="b">
        <v>0</v>
      </c>
      <c r="AD10" s="44" t="b">
        <v>0</v>
      </c>
      <c r="AE10" s="43" t="b">
        <v>0</v>
      </c>
      <c r="AF10" s="43" t="b">
        <v>0</v>
      </c>
      <c r="AG10" s="43" t="b">
        <v>0</v>
      </c>
      <c r="AH10" s="9"/>
      <c r="AI10" s="90">
        <f t="shared" ref="AI10:AI19" si="1">31</f>
        <v>31</v>
      </c>
      <c r="AJ10" s="91">
        <f t="shared" ref="AJ10:AJ19" si="2">COUNTIF(C10:AG10, TRUE)</f>
        <v>0</v>
      </c>
      <c r="AK10" s="29" t="str">
        <f>IFERROR(__xludf.DUMMYFUNCTION("SPARKLINE(AJ10/AI10, {""charttype"",""bar"";""max"",1;""color1"",""#90EE90""})"),"")</f>
        <v/>
      </c>
      <c r="AL10" s="26"/>
      <c r="AM10" s="27"/>
      <c r="AN10" s="9"/>
    </row>
    <row r="11">
      <c r="B11" s="42"/>
      <c r="C11" s="82" t="b">
        <v>0</v>
      </c>
      <c r="D11" s="82" t="b">
        <v>0</v>
      </c>
      <c r="E11" s="82" t="b">
        <v>0</v>
      </c>
      <c r="F11" s="82" t="b">
        <v>0</v>
      </c>
      <c r="G11" s="82" t="b">
        <v>0</v>
      </c>
      <c r="H11" s="82" t="b">
        <v>0</v>
      </c>
      <c r="I11" s="82" t="b">
        <v>0</v>
      </c>
      <c r="J11" s="44" t="b">
        <v>0</v>
      </c>
      <c r="K11" s="44" t="b">
        <v>0</v>
      </c>
      <c r="L11" s="44" t="b">
        <v>0</v>
      </c>
      <c r="M11" s="44" t="b">
        <v>0</v>
      </c>
      <c r="N11" s="44" t="b">
        <v>0</v>
      </c>
      <c r="O11" s="44" t="b">
        <v>0</v>
      </c>
      <c r="P11" s="44" t="b">
        <v>0</v>
      </c>
      <c r="Q11" s="82" t="b">
        <v>0</v>
      </c>
      <c r="R11" s="82" t="b">
        <v>0</v>
      </c>
      <c r="S11" s="82" t="b">
        <v>0</v>
      </c>
      <c r="T11" s="82" t="b">
        <v>0</v>
      </c>
      <c r="U11" s="82" t="b">
        <v>0</v>
      </c>
      <c r="V11" s="82" t="b">
        <v>0</v>
      </c>
      <c r="W11" s="82" t="b">
        <v>0</v>
      </c>
      <c r="X11" s="44" t="b">
        <v>0</v>
      </c>
      <c r="Y11" s="44" t="b">
        <v>0</v>
      </c>
      <c r="Z11" s="44" t="b">
        <v>0</v>
      </c>
      <c r="AA11" s="44" t="b">
        <v>0</v>
      </c>
      <c r="AB11" s="44" t="b">
        <v>0</v>
      </c>
      <c r="AC11" s="44" t="b">
        <v>0</v>
      </c>
      <c r="AD11" s="44" t="b">
        <v>0</v>
      </c>
      <c r="AE11" s="43" t="b">
        <v>0</v>
      </c>
      <c r="AF11" s="43" t="b">
        <v>0</v>
      </c>
      <c r="AG11" s="43" t="b">
        <v>0</v>
      </c>
      <c r="AH11" s="9"/>
      <c r="AI11" s="90">
        <f t="shared" si="1"/>
        <v>31</v>
      </c>
      <c r="AJ11" s="91">
        <f t="shared" si="2"/>
        <v>0</v>
      </c>
      <c r="AK11" s="29" t="str">
        <f>IFERROR(__xludf.DUMMYFUNCTION("SPARKLINE(AJ11/AI11, {""charttype"",""bar"";""max"",1;""color1"",""#90EE90""})"),"")</f>
        <v/>
      </c>
      <c r="AL11" s="26"/>
      <c r="AM11" s="27"/>
      <c r="AN11" s="9"/>
    </row>
    <row r="12">
      <c r="B12" s="42"/>
      <c r="C12" s="82" t="b">
        <v>0</v>
      </c>
      <c r="D12" s="82" t="b">
        <v>0</v>
      </c>
      <c r="E12" s="82" t="b">
        <v>0</v>
      </c>
      <c r="F12" s="82" t="b">
        <v>0</v>
      </c>
      <c r="G12" s="82" t="b">
        <v>0</v>
      </c>
      <c r="H12" s="82" t="b">
        <v>0</v>
      </c>
      <c r="I12" s="82" t="b">
        <v>0</v>
      </c>
      <c r="J12" s="44" t="b">
        <v>0</v>
      </c>
      <c r="K12" s="44" t="b">
        <v>0</v>
      </c>
      <c r="L12" s="44" t="b">
        <v>0</v>
      </c>
      <c r="M12" s="44" t="b">
        <v>0</v>
      </c>
      <c r="N12" s="44" t="b">
        <v>0</v>
      </c>
      <c r="O12" s="44" t="b">
        <v>0</v>
      </c>
      <c r="P12" s="44" t="b">
        <v>0</v>
      </c>
      <c r="Q12" s="82" t="b">
        <v>0</v>
      </c>
      <c r="R12" s="82" t="b">
        <v>0</v>
      </c>
      <c r="S12" s="82" t="b">
        <v>0</v>
      </c>
      <c r="T12" s="82" t="b">
        <v>0</v>
      </c>
      <c r="U12" s="82" t="b">
        <v>0</v>
      </c>
      <c r="V12" s="82" t="b">
        <v>0</v>
      </c>
      <c r="W12" s="82" t="b">
        <v>0</v>
      </c>
      <c r="X12" s="44" t="b">
        <v>0</v>
      </c>
      <c r="Y12" s="44" t="b">
        <v>0</v>
      </c>
      <c r="Z12" s="44" t="b">
        <v>0</v>
      </c>
      <c r="AA12" s="44" t="b">
        <v>0</v>
      </c>
      <c r="AB12" s="44" t="b">
        <v>0</v>
      </c>
      <c r="AC12" s="44" t="b">
        <v>0</v>
      </c>
      <c r="AD12" s="44" t="b">
        <v>0</v>
      </c>
      <c r="AE12" s="43" t="b">
        <v>0</v>
      </c>
      <c r="AF12" s="43" t="b">
        <v>0</v>
      </c>
      <c r="AG12" s="43" t="b">
        <v>0</v>
      </c>
      <c r="AH12" s="9"/>
      <c r="AI12" s="90">
        <f t="shared" si="1"/>
        <v>31</v>
      </c>
      <c r="AJ12" s="91">
        <f t="shared" si="2"/>
        <v>0</v>
      </c>
      <c r="AK12" s="29" t="str">
        <f>IFERROR(__xludf.DUMMYFUNCTION("SPARKLINE(AJ12/AI12, {""charttype"",""bar"";""max"",1;""color1"",""#90EE90""})"),"")</f>
        <v/>
      </c>
      <c r="AL12" s="26"/>
      <c r="AM12" s="27"/>
      <c r="AN12" s="9"/>
    </row>
    <row r="13">
      <c r="B13" s="42"/>
      <c r="C13" s="82" t="b">
        <v>0</v>
      </c>
      <c r="D13" s="82" t="b">
        <v>0</v>
      </c>
      <c r="E13" s="82" t="b">
        <v>0</v>
      </c>
      <c r="F13" s="82" t="b">
        <v>0</v>
      </c>
      <c r="G13" s="82" t="b">
        <v>0</v>
      </c>
      <c r="H13" s="82" t="b">
        <v>0</v>
      </c>
      <c r="I13" s="82" t="b">
        <v>0</v>
      </c>
      <c r="J13" s="44" t="b">
        <v>0</v>
      </c>
      <c r="K13" s="44" t="b">
        <v>0</v>
      </c>
      <c r="L13" s="44" t="b">
        <v>0</v>
      </c>
      <c r="M13" s="44" t="b">
        <v>0</v>
      </c>
      <c r="N13" s="44" t="b">
        <v>0</v>
      </c>
      <c r="O13" s="44" t="b">
        <v>0</v>
      </c>
      <c r="P13" s="44" t="b">
        <v>0</v>
      </c>
      <c r="Q13" s="82" t="b">
        <v>0</v>
      </c>
      <c r="R13" s="82" t="b">
        <v>0</v>
      </c>
      <c r="S13" s="82" t="b">
        <v>0</v>
      </c>
      <c r="T13" s="82" t="b">
        <v>0</v>
      </c>
      <c r="U13" s="82" t="b">
        <v>0</v>
      </c>
      <c r="V13" s="82" t="b">
        <v>0</v>
      </c>
      <c r="W13" s="82" t="b">
        <v>0</v>
      </c>
      <c r="X13" s="44" t="b">
        <v>0</v>
      </c>
      <c r="Y13" s="44" t="b">
        <v>0</v>
      </c>
      <c r="Z13" s="44" t="b">
        <v>0</v>
      </c>
      <c r="AA13" s="44" t="b">
        <v>0</v>
      </c>
      <c r="AB13" s="44" t="b">
        <v>0</v>
      </c>
      <c r="AC13" s="44" t="b">
        <v>0</v>
      </c>
      <c r="AD13" s="44" t="b">
        <v>0</v>
      </c>
      <c r="AE13" s="43" t="b">
        <v>0</v>
      </c>
      <c r="AF13" s="43" t="b">
        <v>0</v>
      </c>
      <c r="AG13" s="43" t="b">
        <v>0</v>
      </c>
      <c r="AH13" s="9"/>
      <c r="AI13" s="90">
        <f t="shared" si="1"/>
        <v>31</v>
      </c>
      <c r="AJ13" s="91">
        <f t="shared" si="2"/>
        <v>0</v>
      </c>
      <c r="AK13" s="29" t="str">
        <f>IFERROR(__xludf.DUMMYFUNCTION("SPARKLINE(AJ13/AI13, {""charttype"",""bar"";""max"",1;""color1"",""#90EE90""})"),"")</f>
        <v/>
      </c>
      <c r="AL13" s="26"/>
      <c r="AM13" s="27"/>
      <c r="AN13" s="9"/>
    </row>
    <row r="14">
      <c r="B14" s="42"/>
      <c r="C14" s="82" t="b">
        <v>0</v>
      </c>
      <c r="D14" s="82" t="b">
        <v>0</v>
      </c>
      <c r="E14" s="82" t="b">
        <v>0</v>
      </c>
      <c r="F14" s="82" t="b">
        <v>0</v>
      </c>
      <c r="G14" s="82" t="b">
        <v>0</v>
      </c>
      <c r="H14" s="82" t="b">
        <v>0</v>
      </c>
      <c r="I14" s="82" t="b">
        <v>0</v>
      </c>
      <c r="J14" s="44" t="b">
        <v>0</v>
      </c>
      <c r="K14" s="44" t="b">
        <v>0</v>
      </c>
      <c r="L14" s="44" t="b">
        <v>0</v>
      </c>
      <c r="M14" s="44" t="b">
        <v>0</v>
      </c>
      <c r="N14" s="44" t="b">
        <v>0</v>
      </c>
      <c r="O14" s="44" t="b">
        <v>0</v>
      </c>
      <c r="P14" s="44" t="b">
        <v>0</v>
      </c>
      <c r="Q14" s="82" t="b">
        <v>0</v>
      </c>
      <c r="R14" s="82" t="b">
        <v>0</v>
      </c>
      <c r="S14" s="82" t="b">
        <v>0</v>
      </c>
      <c r="T14" s="82" t="b">
        <v>0</v>
      </c>
      <c r="U14" s="82" t="b">
        <v>0</v>
      </c>
      <c r="V14" s="82" t="b">
        <v>0</v>
      </c>
      <c r="W14" s="82" t="b">
        <v>0</v>
      </c>
      <c r="X14" s="44" t="b">
        <v>0</v>
      </c>
      <c r="Y14" s="44" t="b">
        <v>0</v>
      </c>
      <c r="Z14" s="44" t="b">
        <v>0</v>
      </c>
      <c r="AA14" s="44" t="b">
        <v>0</v>
      </c>
      <c r="AB14" s="44" t="b">
        <v>0</v>
      </c>
      <c r="AC14" s="44" t="b">
        <v>0</v>
      </c>
      <c r="AD14" s="44" t="b">
        <v>0</v>
      </c>
      <c r="AE14" s="43" t="b">
        <v>0</v>
      </c>
      <c r="AF14" s="43" t="b">
        <v>0</v>
      </c>
      <c r="AG14" s="43" t="b">
        <v>0</v>
      </c>
      <c r="AH14" s="9"/>
      <c r="AI14" s="90">
        <f t="shared" si="1"/>
        <v>31</v>
      </c>
      <c r="AJ14" s="91">
        <f t="shared" si="2"/>
        <v>0</v>
      </c>
      <c r="AK14" s="29" t="str">
        <f>IFERROR(__xludf.DUMMYFUNCTION("SPARKLINE(AJ14/AI14, {""charttype"",""bar"";""max"",1;""color1"",""#90EE90""})"),"")</f>
        <v/>
      </c>
      <c r="AL14" s="26"/>
      <c r="AM14" s="27"/>
      <c r="AN14" s="9"/>
    </row>
    <row r="15">
      <c r="B15" s="42"/>
      <c r="C15" s="82" t="b">
        <v>0</v>
      </c>
      <c r="D15" s="82" t="b">
        <v>0</v>
      </c>
      <c r="E15" s="82" t="b">
        <v>0</v>
      </c>
      <c r="F15" s="82" t="b">
        <v>0</v>
      </c>
      <c r="G15" s="82" t="b">
        <v>0</v>
      </c>
      <c r="H15" s="82" t="b">
        <v>0</v>
      </c>
      <c r="I15" s="82" t="b">
        <v>0</v>
      </c>
      <c r="J15" s="44" t="b">
        <v>0</v>
      </c>
      <c r="K15" s="44" t="b">
        <v>0</v>
      </c>
      <c r="L15" s="44" t="b">
        <v>0</v>
      </c>
      <c r="M15" s="44" t="b">
        <v>0</v>
      </c>
      <c r="N15" s="44" t="b">
        <v>0</v>
      </c>
      <c r="O15" s="44" t="b">
        <v>0</v>
      </c>
      <c r="P15" s="44" t="b">
        <v>0</v>
      </c>
      <c r="Q15" s="82" t="b">
        <v>0</v>
      </c>
      <c r="R15" s="82" t="b">
        <v>0</v>
      </c>
      <c r="S15" s="82" t="b">
        <v>0</v>
      </c>
      <c r="T15" s="82" t="b">
        <v>0</v>
      </c>
      <c r="U15" s="82" t="b">
        <v>0</v>
      </c>
      <c r="V15" s="82" t="b">
        <v>0</v>
      </c>
      <c r="W15" s="82" t="b">
        <v>0</v>
      </c>
      <c r="X15" s="44" t="b">
        <v>0</v>
      </c>
      <c r="Y15" s="44" t="b">
        <v>0</v>
      </c>
      <c r="Z15" s="44" t="b">
        <v>0</v>
      </c>
      <c r="AA15" s="44" t="b">
        <v>0</v>
      </c>
      <c r="AB15" s="44" t="b">
        <v>0</v>
      </c>
      <c r="AC15" s="44" t="b">
        <v>0</v>
      </c>
      <c r="AD15" s="44" t="b">
        <v>0</v>
      </c>
      <c r="AE15" s="43" t="b">
        <v>0</v>
      </c>
      <c r="AF15" s="43" t="b">
        <v>0</v>
      </c>
      <c r="AG15" s="43" t="b">
        <v>0</v>
      </c>
      <c r="AH15" s="9"/>
      <c r="AI15" s="90">
        <f t="shared" si="1"/>
        <v>31</v>
      </c>
      <c r="AJ15" s="91">
        <f t="shared" si="2"/>
        <v>0</v>
      </c>
      <c r="AK15" s="29" t="str">
        <f>IFERROR(__xludf.DUMMYFUNCTION("SPARKLINE(AJ15/AI15, {""charttype"",""bar"";""max"",1;""color1"",""#90EE90""})"),"")</f>
        <v/>
      </c>
      <c r="AL15" s="26"/>
      <c r="AM15" s="27"/>
      <c r="AN15" s="9"/>
    </row>
    <row r="16">
      <c r="B16" s="42"/>
      <c r="C16" s="82" t="b">
        <v>0</v>
      </c>
      <c r="D16" s="82" t="b">
        <v>0</v>
      </c>
      <c r="E16" s="82" t="b">
        <v>0</v>
      </c>
      <c r="F16" s="82" t="b">
        <v>0</v>
      </c>
      <c r="G16" s="82" t="b">
        <v>0</v>
      </c>
      <c r="H16" s="82" t="b">
        <v>0</v>
      </c>
      <c r="I16" s="82" t="b">
        <v>0</v>
      </c>
      <c r="J16" s="44" t="b">
        <v>0</v>
      </c>
      <c r="K16" s="44" t="b">
        <v>0</v>
      </c>
      <c r="L16" s="44" t="b">
        <v>0</v>
      </c>
      <c r="M16" s="44" t="b">
        <v>0</v>
      </c>
      <c r="N16" s="44" t="b">
        <v>0</v>
      </c>
      <c r="O16" s="44" t="b">
        <v>0</v>
      </c>
      <c r="P16" s="44" t="b">
        <v>0</v>
      </c>
      <c r="Q16" s="82" t="b">
        <v>0</v>
      </c>
      <c r="R16" s="82" t="b">
        <v>0</v>
      </c>
      <c r="S16" s="82" t="b">
        <v>0</v>
      </c>
      <c r="T16" s="82" t="b">
        <v>0</v>
      </c>
      <c r="U16" s="82" t="b">
        <v>0</v>
      </c>
      <c r="V16" s="82" t="b">
        <v>0</v>
      </c>
      <c r="W16" s="82" t="b">
        <v>0</v>
      </c>
      <c r="X16" s="44" t="b">
        <v>0</v>
      </c>
      <c r="Y16" s="44" t="b">
        <v>0</v>
      </c>
      <c r="Z16" s="44" t="b">
        <v>0</v>
      </c>
      <c r="AA16" s="44" t="b">
        <v>0</v>
      </c>
      <c r="AB16" s="44" t="b">
        <v>0</v>
      </c>
      <c r="AC16" s="44" t="b">
        <v>0</v>
      </c>
      <c r="AD16" s="44" t="b">
        <v>0</v>
      </c>
      <c r="AE16" s="43" t="b">
        <v>0</v>
      </c>
      <c r="AF16" s="43" t="b">
        <v>0</v>
      </c>
      <c r="AG16" s="43" t="b">
        <v>0</v>
      </c>
      <c r="AH16" s="9"/>
      <c r="AI16" s="90">
        <f t="shared" si="1"/>
        <v>31</v>
      </c>
      <c r="AJ16" s="91">
        <f t="shared" si="2"/>
        <v>0</v>
      </c>
      <c r="AK16" s="29" t="str">
        <f>IFERROR(__xludf.DUMMYFUNCTION("SPARKLINE(AJ16/AI16, {""charttype"",""bar"";""max"",1;""color1"",""#90EE90""})"),"")</f>
        <v/>
      </c>
      <c r="AL16" s="26"/>
      <c r="AM16" s="27"/>
      <c r="AN16" s="9"/>
    </row>
    <row r="17">
      <c r="B17" s="42"/>
      <c r="C17" s="82" t="b">
        <v>0</v>
      </c>
      <c r="D17" s="82" t="b">
        <v>0</v>
      </c>
      <c r="E17" s="82" t="b">
        <v>0</v>
      </c>
      <c r="F17" s="82" t="b">
        <v>0</v>
      </c>
      <c r="G17" s="82" t="b">
        <v>0</v>
      </c>
      <c r="H17" s="82" t="b">
        <v>0</v>
      </c>
      <c r="I17" s="82" t="b">
        <v>0</v>
      </c>
      <c r="J17" s="44" t="b">
        <v>0</v>
      </c>
      <c r="K17" s="44" t="b">
        <v>0</v>
      </c>
      <c r="L17" s="44" t="b">
        <v>0</v>
      </c>
      <c r="M17" s="44" t="b">
        <v>0</v>
      </c>
      <c r="N17" s="44" t="b">
        <v>0</v>
      </c>
      <c r="O17" s="44" t="b">
        <v>0</v>
      </c>
      <c r="P17" s="44" t="b">
        <v>0</v>
      </c>
      <c r="Q17" s="82" t="b">
        <v>0</v>
      </c>
      <c r="R17" s="82" t="b">
        <v>0</v>
      </c>
      <c r="S17" s="82" t="b">
        <v>0</v>
      </c>
      <c r="T17" s="82" t="b">
        <v>0</v>
      </c>
      <c r="U17" s="82" t="b">
        <v>0</v>
      </c>
      <c r="V17" s="82" t="b">
        <v>0</v>
      </c>
      <c r="W17" s="82" t="b">
        <v>0</v>
      </c>
      <c r="X17" s="44" t="b">
        <v>0</v>
      </c>
      <c r="Y17" s="44" t="b">
        <v>0</v>
      </c>
      <c r="Z17" s="44" t="b">
        <v>0</v>
      </c>
      <c r="AA17" s="44" t="b">
        <v>0</v>
      </c>
      <c r="AB17" s="44" t="b">
        <v>0</v>
      </c>
      <c r="AC17" s="44" t="b">
        <v>0</v>
      </c>
      <c r="AD17" s="44" t="b">
        <v>0</v>
      </c>
      <c r="AE17" s="43" t="b">
        <v>0</v>
      </c>
      <c r="AF17" s="43" t="b">
        <v>0</v>
      </c>
      <c r="AG17" s="43" t="b">
        <v>0</v>
      </c>
      <c r="AH17" s="9"/>
      <c r="AI17" s="90">
        <f t="shared" si="1"/>
        <v>31</v>
      </c>
      <c r="AJ17" s="91">
        <f t="shared" si="2"/>
        <v>0</v>
      </c>
      <c r="AK17" s="29" t="str">
        <f>IFERROR(__xludf.DUMMYFUNCTION("SPARKLINE(AJ17/AI17, {""charttype"",""bar"";""max"",1;""color1"",""#90EE90""})"),"")</f>
        <v/>
      </c>
      <c r="AL17" s="26"/>
      <c r="AM17" s="27"/>
      <c r="AN17" s="9"/>
    </row>
    <row r="18">
      <c r="B18" s="42"/>
      <c r="C18" s="82" t="b">
        <v>0</v>
      </c>
      <c r="D18" s="82" t="b">
        <v>0</v>
      </c>
      <c r="E18" s="82" t="b">
        <v>0</v>
      </c>
      <c r="F18" s="82" t="b">
        <v>0</v>
      </c>
      <c r="G18" s="82" t="b">
        <v>0</v>
      </c>
      <c r="H18" s="82" t="b">
        <v>0</v>
      </c>
      <c r="I18" s="82" t="b">
        <v>0</v>
      </c>
      <c r="J18" s="44" t="b">
        <v>0</v>
      </c>
      <c r="K18" s="44" t="b">
        <v>0</v>
      </c>
      <c r="L18" s="44" t="b">
        <v>0</v>
      </c>
      <c r="M18" s="44" t="b">
        <v>0</v>
      </c>
      <c r="N18" s="44" t="b">
        <v>0</v>
      </c>
      <c r="O18" s="44" t="b">
        <v>0</v>
      </c>
      <c r="P18" s="44" t="b">
        <v>0</v>
      </c>
      <c r="Q18" s="82" t="b">
        <v>0</v>
      </c>
      <c r="R18" s="82" t="b">
        <v>0</v>
      </c>
      <c r="S18" s="82" t="b">
        <v>0</v>
      </c>
      <c r="T18" s="82" t="b">
        <v>0</v>
      </c>
      <c r="U18" s="82" t="b">
        <v>0</v>
      </c>
      <c r="V18" s="82" t="b">
        <v>0</v>
      </c>
      <c r="W18" s="82" t="b">
        <v>0</v>
      </c>
      <c r="X18" s="44" t="b">
        <v>0</v>
      </c>
      <c r="Y18" s="44" t="b">
        <v>0</v>
      </c>
      <c r="Z18" s="44" t="b">
        <v>0</v>
      </c>
      <c r="AA18" s="44" t="b">
        <v>0</v>
      </c>
      <c r="AB18" s="44" t="b">
        <v>0</v>
      </c>
      <c r="AC18" s="44" t="b">
        <v>0</v>
      </c>
      <c r="AD18" s="44" t="b">
        <v>0</v>
      </c>
      <c r="AE18" s="43" t="b">
        <v>0</v>
      </c>
      <c r="AF18" s="43" t="b">
        <v>0</v>
      </c>
      <c r="AG18" s="43" t="b">
        <v>0</v>
      </c>
      <c r="AH18" s="9"/>
      <c r="AI18" s="90">
        <f t="shared" si="1"/>
        <v>31</v>
      </c>
      <c r="AJ18" s="91">
        <f t="shared" si="2"/>
        <v>0</v>
      </c>
      <c r="AK18" s="29" t="str">
        <f>IFERROR(__xludf.DUMMYFUNCTION("SPARKLINE(AJ18/AI18, {""charttype"",""bar"";""max"",1;""color1"",""#90EE90""})"),"")</f>
        <v/>
      </c>
      <c r="AL18" s="26"/>
      <c r="AM18" s="27"/>
      <c r="AN18" s="9"/>
    </row>
    <row r="19">
      <c r="B19" s="42"/>
      <c r="C19" s="82" t="b">
        <v>0</v>
      </c>
      <c r="D19" s="82" t="b">
        <v>0</v>
      </c>
      <c r="E19" s="82" t="b">
        <v>0</v>
      </c>
      <c r="F19" s="82" t="b">
        <v>0</v>
      </c>
      <c r="G19" s="82" t="b">
        <v>0</v>
      </c>
      <c r="H19" s="82" t="b">
        <v>0</v>
      </c>
      <c r="I19" s="82" t="b">
        <v>0</v>
      </c>
      <c r="J19" s="44" t="b">
        <v>0</v>
      </c>
      <c r="K19" s="44" t="b">
        <v>0</v>
      </c>
      <c r="L19" s="44" t="b">
        <v>0</v>
      </c>
      <c r="M19" s="44" t="b">
        <v>0</v>
      </c>
      <c r="N19" s="44" t="b">
        <v>0</v>
      </c>
      <c r="O19" s="44" t="b">
        <v>0</v>
      </c>
      <c r="P19" s="44" t="b">
        <v>0</v>
      </c>
      <c r="Q19" s="82" t="b">
        <v>0</v>
      </c>
      <c r="R19" s="82" t="b">
        <v>0</v>
      </c>
      <c r="S19" s="82" t="b">
        <v>0</v>
      </c>
      <c r="T19" s="82" t="b">
        <v>0</v>
      </c>
      <c r="U19" s="82" t="b">
        <v>0</v>
      </c>
      <c r="V19" s="82" t="b">
        <v>0</v>
      </c>
      <c r="W19" s="82" t="b">
        <v>0</v>
      </c>
      <c r="X19" s="44" t="b">
        <v>0</v>
      </c>
      <c r="Y19" s="44" t="b">
        <v>0</v>
      </c>
      <c r="Z19" s="44" t="b">
        <v>0</v>
      </c>
      <c r="AA19" s="44" t="b">
        <v>0</v>
      </c>
      <c r="AB19" s="44" t="b">
        <v>0</v>
      </c>
      <c r="AC19" s="44" t="b">
        <v>0</v>
      </c>
      <c r="AD19" s="44" t="b">
        <v>0</v>
      </c>
      <c r="AE19" s="43" t="b">
        <v>0</v>
      </c>
      <c r="AF19" s="43" t="b">
        <v>0</v>
      </c>
      <c r="AG19" s="43" t="b">
        <v>0</v>
      </c>
      <c r="AH19" s="9"/>
      <c r="AI19" s="90">
        <f t="shared" si="1"/>
        <v>31</v>
      </c>
      <c r="AJ19" s="91">
        <f t="shared" si="2"/>
        <v>0</v>
      </c>
      <c r="AK19" s="29" t="str">
        <f>IFERROR(__xludf.DUMMYFUNCTION("SPARKLINE(AJ19/AI19, {""charttype"",""bar"";""max"",1;""color1"",""#90EE90""})"),"")</f>
        <v/>
      </c>
      <c r="AL19" s="26"/>
      <c r="AM19" s="27"/>
      <c r="AN19" s="9"/>
    </row>
    <row r="20">
      <c r="B20" s="47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</row>
    <row r="21">
      <c r="B21" s="40" t="s">
        <v>11</v>
      </c>
      <c r="C21" s="49">
        <f t="shared" ref="C21:AG21" si="3">COUNTIF(C10:C19, TRUE)/COUNTA(C10:C19)</f>
        <v>0</v>
      </c>
      <c r="D21" s="49">
        <f t="shared" si="3"/>
        <v>0</v>
      </c>
      <c r="E21" s="49">
        <f t="shared" si="3"/>
        <v>0</v>
      </c>
      <c r="F21" s="49">
        <f t="shared" si="3"/>
        <v>0</v>
      </c>
      <c r="G21" s="49">
        <f t="shared" si="3"/>
        <v>0</v>
      </c>
      <c r="H21" s="49">
        <f t="shared" si="3"/>
        <v>0</v>
      </c>
      <c r="I21" s="49">
        <f t="shared" si="3"/>
        <v>0</v>
      </c>
      <c r="J21" s="49">
        <f t="shared" si="3"/>
        <v>0</v>
      </c>
      <c r="K21" s="49">
        <f t="shared" si="3"/>
        <v>0</v>
      </c>
      <c r="L21" s="49">
        <f t="shared" si="3"/>
        <v>0</v>
      </c>
      <c r="M21" s="49">
        <f t="shared" si="3"/>
        <v>0</v>
      </c>
      <c r="N21" s="49">
        <f t="shared" si="3"/>
        <v>0</v>
      </c>
      <c r="O21" s="49">
        <f t="shared" si="3"/>
        <v>0</v>
      </c>
      <c r="P21" s="49">
        <f t="shared" si="3"/>
        <v>0</v>
      </c>
      <c r="Q21" s="49">
        <f t="shared" si="3"/>
        <v>0</v>
      </c>
      <c r="R21" s="49">
        <f t="shared" si="3"/>
        <v>0</v>
      </c>
      <c r="S21" s="49">
        <f t="shared" si="3"/>
        <v>0</v>
      </c>
      <c r="T21" s="49">
        <f t="shared" si="3"/>
        <v>0</v>
      </c>
      <c r="U21" s="49">
        <f t="shared" si="3"/>
        <v>0</v>
      </c>
      <c r="V21" s="49">
        <f t="shared" si="3"/>
        <v>0</v>
      </c>
      <c r="W21" s="49">
        <f t="shared" si="3"/>
        <v>0</v>
      </c>
      <c r="X21" s="49">
        <f t="shared" si="3"/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B21" s="49">
        <f t="shared" si="3"/>
        <v>0</v>
      </c>
      <c r="AC21" s="49">
        <f t="shared" si="3"/>
        <v>0</v>
      </c>
      <c r="AD21" s="49">
        <f t="shared" si="3"/>
        <v>0</v>
      </c>
      <c r="AE21" s="49">
        <f t="shared" si="3"/>
        <v>0</v>
      </c>
      <c r="AF21" s="49">
        <f t="shared" si="3"/>
        <v>0</v>
      </c>
      <c r="AG21" s="49">
        <f t="shared" si="3"/>
        <v>0</v>
      </c>
    </row>
    <row r="22">
      <c r="B22" s="40" t="s">
        <v>38</v>
      </c>
      <c r="C22" s="46">
        <f t="shared" ref="C22:AG22" si="4">COUNTIF(C10:C19, TRUE)</f>
        <v>0</v>
      </c>
      <c r="D22" s="46">
        <f t="shared" si="4"/>
        <v>0</v>
      </c>
      <c r="E22" s="46">
        <f t="shared" si="4"/>
        <v>0</v>
      </c>
      <c r="F22" s="46">
        <f t="shared" si="4"/>
        <v>0</v>
      </c>
      <c r="G22" s="46">
        <f t="shared" si="4"/>
        <v>0</v>
      </c>
      <c r="H22" s="46">
        <f t="shared" si="4"/>
        <v>0</v>
      </c>
      <c r="I22" s="46">
        <f t="shared" si="4"/>
        <v>0</v>
      </c>
      <c r="J22" s="46">
        <f t="shared" si="4"/>
        <v>0</v>
      </c>
      <c r="K22" s="46">
        <f t="shared" si="4"/>
        <v>0</v>
      </c>
      <c r="L22" s="46">
        <f t="shared" si="4"/>
        <v>0</v>
      </c>
      <c r="M22" s="46">
        <f t="shared" si="4"/>
        <v>0</v>
      </c>
      <c r="N22" s="46">
        <f t="shared" si="4"/>
        <v>0</v>
      </c>
      <c r="O22" s="46">
        <f t="shared" si="4"/>
        <v>0</v>
      </c>
      <c r="P22" s="46">
        <f t="shared" si="4"/>
        <v>0</v>
      </c>
      <c r="Q22" s="46">
        <f t="shared" si="4"/>
        <v>0</v>
      </c>
      <c r="R22" s="46">
        <f t="shared" si="4"/>
        <v>0</v>
      </c>
      <c r="S22" s="46">
        <f t="shared" si="4"/>
        <v>0</v>
      </c>
      <c r="T22" s="46">
        <f t="shared" si="4"/>
        <v>0</v>
      </c>
      <c r="U22" s="46">
        <f t="shared" si="4"/>
        <v>0</v>
      </c>
      <c r="V22" s="46">
        <f t="shared" si="4"/>
        <v>0</v>
      </c>
      <c r="W22" s="46">
        <f t="shared" si="4"/>
        <v>0</v>
      </c>
      <c r="X22" s="46">
        <f t="shared" si="4"/>
        <v>0</v>
      </c>
      <c r="Y22" s="46">
        <f t="shared" si="4"/>
        <v>0</v>
      </c>
      <c r="Z22" s="46">
        <f t="shared" si="4"/>
        <v>0</v>
      </c>
      <c r="AA22" s="46">
        <f t="shared" si="4"/>
        <v>0</v>
      </c>
      <c r="AB22" s="46">
        <f t="shared" si="4"/>
        <v>0</v>
      </c>
      <c r="AC22" s="46">
        <f t="shared" si="4"/>
        <v>0</v>
      </c>
      <c r="AD22" s="46">
        <f t="shared" si="4"/>
        <v>0</v>
      </c>
      <c r="AE22" s="46">
        <f t="shared" si="4"/>
        <v>0</v>
      </c>
      <c r="AF22" s="46">
        <f t="shared" si="4"/>
        <v>0</v>
      </c>
      <c r="AG22" s="46">
        <f t="shared" si="4"/>
        <v>0</v>
      </c>
    </row>
    <row r="23">
      <c r="B23" s="40" t="s">
        <v>39</v>
      </c>
      <c r="C23" s="46">
        <f t="shared" ref="C23:AG23" si="5">COUNTIF(C10:C19, FALSE)</f>
        <v>10</v>
      </c>
      <c r="D23" s="46">
        <f t="shared" si="5"/>
        <v>10</v>
      </c>
      <c r="E23" s="46">
        <f t="shared" si="5"/>
        <v>10</v>
      </c>
      <c r="F23" s="46">
        <f t="shared" si="5"/>
        <v>10</v>
      </c>
      <c r="G23" s="46">
        <f t="shared" si="5"/>
        <v>10</v>
      </c>
      <c r="H23" s="46">
        <f t="shared" si="5"/>
        <v>10</v>
      </c>
      <c r="I23" s="46">
        <f t="shared" si="5"/>
        <v>10</v>
      </c>
      <c r="J23" s="46">
        <f t="shared" si="5"/>
        <v>10</v>
      </c>
      <c r="K23" s="46">
        <f t="shared" si="5"/>
        <v>10</v>
      </c>
      <c r="L23" s="46">
        <f t="shared" si="5"/>
        <v>10</v>
      </c>
      <c r="M23" s="46">
        <f t="shared" si="5"/>
        <v>10</v>
      </c>
      <c r="N23" s="46">
        <f t="shared" si="5"/>
        <v>10</v>
      </c>
      <c r="O23" s="46">
        <f t="shared" si="5"/>
        <v>10</v>
      </c>
      <c r="P23" s="46">
        <f t="shared" si="5"/>
        <v>10</v>
      </c>
      <c r="Q23" s="46">
        <f t="shared" si="5"/>
        <v>10</v>
      </c>
      <c r="R23" s="46">
        <f t="shared" si="5"/>
        <v>10</v>
      </c>
      <c r="S23" s="46">
        <f t="shared" si="5"/>
        <v>10</v>
      </c>
      <c r="T23" s="46">
        <f t="shared" si="5"/>
        <v>10</v>
      </c>
      <c r="U23" s="46">
        <f t="shared" si="5"/>
        <v>10</v>
      </c>
      <c r="V23" s="46">
        <f t="shared" si="5"/>
        <v>10</v>
      </c>
      <c r="W23" s="46">
        <f t="shared" si="5"/>
        <v>10</v>
      </c>
      <c r="X23" s="46">
        <f t="shared" si="5"/>
        <v>10</v>
      </c>
      <c r="Y23" s="46">
        <f t="shared" si="5"/>
        <v>10</v>
      </c>
      <c r="Z23" s="46">
        <f t="shared" si="5"/>
        <v>10</v>
      </c>
      <c r="AA23" s="46">
        <f t="shared" si="5"/>
        <v>10</v>
      </c>
      <c r="AB23" s="46">
        <f t="shared" si="5"/>
        <v>10</v>
      </c>
      <c r="AC23" s="46">
        <f t="shared" si="5"/>
        <v>10</v>
      </c>
      <c r="AD23" s="46">
        <f t="shared" si="5"/>
        <v>10</v>
      </c>
      <c r="AE23" s="46">
        <f t="shared" si="5"/>
        <v>10</v>
      </c>
      <c r="AF23" s="46">
        <f t="shared" si="5"/>
        <v>10</v>
      </c>
      <c r="AG23" s="46">
        <f t="shared" si="5"/>
        <v>10</v>
      </c>
    </row>
    <row r="33">
      <c r="B33" s="50"/>
      <c r="C33" s="41" t="s">
        <v>40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7"/>
    </row>
    <row r="34">
      <c r="B34" s="40" t="s">
        <v>41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1"/>
    </row>
    <row r="35">
      <c r="B35" s="40" t="s">
        <v>42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1"/>
    </row>
    <row r="36">
      <c r="C36" s="53">
        <f t="shared" ref="C36:AG36" si="6">(C35+C34)/20</f>
        <v>0</v>
      </c>
      <c r="D36" s="53">
        <f t="shared" si="6"/>
        <v>0</v>
      </c>
      <c r="E36" s="53">
        <f t="shared" si="6"/>
        <v>0</v>
      </c>
      <c r="F36" s="53">
        <f t="shared" si="6"/>
        <v>0</v>
      </c>
      <c r="G36" s="53">
        <f t="shared" si="6"/>
        <v>0</v>
      </c>
      <c r="H36" s="53">
        <f t="shared" si="6"/>
        <v>0</v>
      </c>
      <c r="I36" s="53">
        <f t="shared" si="6"/>
        <v>0</v>
      </c>
      <c r="J36" s="53">
        <f t="shared" si="6"/>
        <v>0</v>
      </c>
      <c r="K36" s="53">
        <f t="shared" si="6"/>
        <v>0</v>
      </c>
      <c r="L36" s="53">
        <f t="shared" si="6"/>
        <v>0</v>
      </c>
      <c r="M36" s="53">
        <f t="shared" si="6"/>
        <v>0</v>
      </c>
      <c r="N36" s="53">
        <f t="shared" si="6"/>
        <v>0</v>
      </c>
      <c r="O36" s="53">
        <f t="shared" si="6"/>
        <v>0</v>
      </c>
      <c r="P36" s="53">
        <f t="shared" si="6"/>
        <v>0</v>
      </c>
      <c r="Q36" s="53">
        <f t="shared" si="6"/>
        <v>0</v>
      </c>
      <c r="R36" s="53">
        <f t="shared" si="6"/>
        <v>0</v>
      </c>
      <c r="S36" s="53">
        <f t="shared" si="6"/>
        <v>0</v>
      </c>
      <c r="T36" s="53">
        <f t="shared" si="6"/>
        <v>0</v>
      </c>
      <c r="U36" s="53">
        <f t="shared" si="6"/>
        <v>0</v>
      </c>
      <c r="V36" s="53">
        <f t="shared" si="6"/>
        <v>0</v>
      </c>
      <c r="W36" s="53">
        <f t="shared" si="6"/>
        <v>0</v>
      </c>
      <c r="X36" s="53">
        <f t="shared" si="6"/>
        <v>0</v>
      </c>
      <c r="Y36" s="53">
        <f t="shared" si="6"/>
        <v>0</v>
      </c>
      <c r="Z36" s="53">
        <f t="shared" si="6"/>
        <v>0</v>
      </c>
      <c r="AA36" s="53">
        <f t="shared" si="6"/>
        <v>0</v>
      </c>
      <c r="AB36" s="53">
        <f t="shared" si="6"/>
        <v>0</v>
      </c>
      <c r="AC36" s="53">
        <f t="shared" si="6"/>
        <v>0</v>
      </c>
      <c r="AD36" s="53">
        <f t="shared" si="6"/>
        <v>0</v>
      </c>
      <c r="AE36" s="53">
        <f t="shared" si="6"/>
        <v>0</v>
      </c>
      <c r="AF36" s="53">
        <f t="shared" si="6"/>
        <v>0</v>
      </c>
      <c r="AG36" s="53">
        <f t="shared" si="6"/>
        <v>0</v>
      </c>
    </row>
  </sheetData>
  <mergeCells count="28">
    <mergeCell ref="AB3:AD3"/>
    <mergeCell ref="AB4:AD4"/>
    <mergeCell ref="B3:H4"/>
    <mergeCell ref="J3:N3"/>
    <mergeCell ref="P3:T3"/>
    <mergeCell ref="V3:Z3"/>
    <mergeCell ref="J4:N4"/>
    <mergeCell ref="P4:T4"/>
    <mergeCell ref="V4:Z4"/>
    <mergeCell ref="B7:B9"/>
    <mergeCell ref="C7:I7"/>
    <mergeCell ref="J7:P7"/>
    <mergeCell ref="Q7:W7"/>
    <mergeCell ref="X7:AD7"/>
    <mergeCell ref="AE7:AF7"/>
    <mergeCell ref="AI7:AM8"/>
    <mergeCell ref="AK16:AM16"/>
    <mergeCell ref="AK17:AM17"/>
    <mergeCell ref="AK18:AM18"/>
    <mergeCell ref="AK19:AM19"/>
    <mergeCell ref="C33:AG33"/>
    <mergeCell ref="AK9:AM9"/>
    <mergeCell ref="AK10:AM10"/>
    <mergeCell ref="AK11:AM11"/>
    <mergeCell ref="AK12:AM12"/>
    <mergeCell ref="AK13:AM13"/>
    <mergeCell ref="AK14:AM14"/>
    <mergeCell ref="AK15:AM15"/>
  </mergeCells>
  <dataValidations>
    <dataValidation type="list" allowBlank="1" showErrorMessage="1" sqref="C34:AG35">
      <formula1>"10,9,8,7,6,5,4,3,2,1,0"</formula1>
    </dataValidation>
  </dataValidations>
  <drawing r:id="rId1"/>
</worksheet>
</file>