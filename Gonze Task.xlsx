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სახელმძღვანელო" sheetId="1" r:id="rId5"/>
    <sheet state="visible" name="პარამეტრები" sheetId="2" r:id="rId6"/>
    <sheet state="visible" name="მაგალითი" sheetId="3" r:id="rId7"/>
    <sheet state="visible" name="დავალებები" sheetId="4" r:id="rId8"/>
    <sheet state="visible" name="მთავარი" sheetId="5" r:id="rId9"/>
  </sheets>
  <definedNames>
    <definedName hidden="1" localSheetId="2" name="Z_77955C4A_3814_41F3_BBB5_0D153A35ABDC_.wvu.FilterData">'მაგალითი'!$B$9:$O$79</definedName>
    <definedName hidden="1" localSheetId="3" name="Z_77955C4A_3814_41F3_BBB5_0D153A35ABDC_.wvu.FilterData">'დავალებები'!$B$9:$O$79</definedName>
    <definedName hidden="1" localSheetId="2" name="Z_1866274F_8CAD_4BFD_8599_BA9FD7FBA376_.wvu.FilterData">'მაგალითი'!$B$9:$O$79</definedName>
    <definedName hidden="1" localSheetId="3" name="Z_1866274F_8CAD_4BFD_8599_BA9FD7FBA376_.wvu.FilterData">'დავალებები'!$B$9:$O$79</definedName>
    <definedName hidden="1" localSheetId="2" name="Z_51B225B4_9D56_4685_B6CC_63F308A21EDE_.wvu.FilterData">'მაგალითი'!$B$9:$O$79</definedName>
    <definedName hidden="1" localSheetId="3" name="Z_51B225B4_9D56_4685_B6CC_63F308A21EDE_.wvu.FilterData">'დავალებები'!$B$9:$O$79</definedName>
  </definedNames>
  <calcPr/>
  <customWorkbookViews>
    <customWorkbookView activeSheetId="0" maximized="1" windowHeight="0" windowWidth="0" guid="{77955C4A-3814-41F3-BBB5-0D153A35ABDC}" name="Просрочено"/>
    <customWorkbookView activeSheetId="0" maximized="1" windowHeight="0" windowWidth="0" guid="{1866274F-8CAD-4BFD-8599-BA9FD7FBA376}" name="По сроку от А -&gt; Я"/>
    <customWorkbookView activeSheetId="0" maximized="1" windowHeight="0" windowWidth="0" guid="{51B225B4-9D56-4685-B6CC-63F308A21EDE}" name="Сегодня"/>
  </customWorkbookViews>
</workbook>
</file>

<file path=xl/sharedStrings.xml><?xml version="1.0" encoding="utf-8"?>
<sst xmlns="http://schemas.openxmlformats.org/spreadsheetml/2006/main" count="133" uniqueCount="65">
  <si>
    <t>ნაბიჯი 1-ტრეკერის დაყენება</t>
  </si>
  <si>
    <t>1) გახსენით ფურცელი "პარამეტრები".</t>
  </si>
  <si>
    <t>2) მოირგეთ კატეგორიები, პრიორიტეტები და სტატუსები თქვენი ამოცანების შესასრულებლად. ეს პარამეტრები გამოყენებული იქნება თქვენი ამოცანების დასადგენად.
- კატეგორიები: შეცვალოს, წაშლა არსებული და შეიყვანეთ ახალი სახელი.
- პრიორიტეტი და სტატუსი: არასაჭირო ვარიანტების შეცვლა, წაშლა ან ახალი მნიშვნელობების დამატება.</t>
  </si>
  <si>
    <t>ნაბიჯი 2-შეავსეთ დავალებები</t>
  </si>
  <si>
    <t>1) გახსენი ფურცელი "დავალებები"</t>
  </si>
  <si>
    <t>2) შეიყვანეთ თქვენი ყველა დავალება სვეტში "დავალება".</t>
  </si>
  <si>
    <t>3) გახადეთ თქვენი ამოცანები კონკრეტული: დააყენეთ ვადა, პრიორიტეტი, სტატუსი და კატეგორია თითოეული დავალებისთვის.</t>
  </si>
  <si>
    <t>ნაბიჯი 3-ანალიზი და ფილტრი!</t>
  </si>
  <si>
    <t>1) გახსენით "მთავარი" ფურცელი.</t>
  </si>
  <si>
    <t>2) გამოიყენეთ დიაგრამები იმის გასაანალიზებლად, თუ რა სახის ამოცანებია თქვენს ცხოვრებაში!</t>
  </si>
  <si>
    <t>2) გაფილტრეთ ამოცანები პრიორიტეტის, სტატუსისა და კატეგორიის მიხედვით.</t>
  </si>
  <si>
    <t>მზადაა! ახლა თქვენ გაქვთ ტრეკერის საკუთარი ასლი, რომ იმუშაოთ და მოირგოთ.
გამოიყენეთ ტრეკერი ყოველდღე და უყურეთ, თუ როგორ იწვევს მცირე ნაბიჯები დიდ შედეგებს!
თუ თქვენ გაქვთ რაიმე შეკითხვები, მოგვწერეთ.</t>
  </si>
  <si>
    <t>პარამეტრები</t>
  </si>
  <si>
    <t>კატეგორიები</t>
  </si>
  <si>
    <t>პრიორიტეტები</t>
  </si>
  <si>
    <t>სტატუსი</t>
  </si>
  <si>
    <t>ჯანმრთელობა 💪🏻</t>
  </si>
  <si>
    <t>🔴 მაღალი</t>
  </si>
  <si>
    <t>✅ შესრულებული</t>
  </si>
  <si>
    <t>სამსახური 💼</t>
  </si>
  <si>
    <t>🟡 საშუალო</t>
  </si>
  <si>
    <t>✏️ პროგრესშია</t>
  </si>
  <si>
    <t>ფული ₿</t>
  </si>
  <si>
    <t>🔵 დაბალი</t>
  </si>
  <si>
    <t>⚠️ არ დაგიწყია</t>
  </si>
  <si>
    <t>ოჯახი 👨‍👩‍👧‍👦</t>
  </si>
  <si>
    <t>⚪️ სურვილისამებრ</t>
  </si>
  <si>
    <t>❌ გაუქმდა</t>
  </si>
  <si>
    <t>პირადი განვითარება 📚</t>
  </si>
  <si>
    <t>საქმეები 🧹</t>
  </si>
  <si>
    <t>იდეები 💡</t>
  </si>
  <si>
    <t>დასვენება 🎮</t>
  </si>
  <si>
    <t>სულიერება 🧘🏻</t>
  </si>
  <si>
    <t>დავალებები</t>
  </si>
  <si>
    <t>თარიღი</t>
  </si>
  <si>
    <t>დღეს</t>
  </si>
  <si>
    <t>სულ დავალებები</t>
  </si>
  <si>
    <t>ვადაგადაცილება</t>
  </si>
  <si>
    <t>შეუსრულებელი</t>
  </si>
  <si>
    <t>შესრულებული</t>
  </si>
  <si>
    <t>დავალება</t>
  </si>
  <si>
    <t>ვადა</t>
  </si>
  <si>
    <t>პრიორიტეტი</t>
  </si>
  <si>
    <t>კატეგორია</t>
  </si>
  <si>
    <t>კომენტარი</t>
  </si>
  <si>
    <t>კვირის განვითარების გეგმის შექმნა</t>
  </si>
  <si>
    <t>დაწერეთ სკრიპტები რგოლებისთვის</t>
  </si>
  <si>
    <t>გააანალიზეთ მარკეტერის ანგარიში</t>
  </si>
  <si>
    <t>დაასრულეთ პროექტი გამო 10/31/2025</t>
  </si>
  <si>
    <t>დააყენეთ ვებსაიტის ტრაფიკი</t>
  </si>
  <si>
    <t>გადაიხადეთ მწვრთნელის ფული</t>
  </si>
  <si>
    <t>პირადი ფინანსების ორგანიზება</t>
  </si>
  <si>
    <t>დაწერეთ 10 შინაარსის იდეა</t>
  </si>
  <si>
    <t>დაასრულეთ კომერციული წინადადება</t>
  </si>
  <si>
    <t>გადახედეთ გამოწერებს</t>
  </si>
  <si>
    <t>სამუშაო სივრცის ორგანიზება</t>
  </si>
  <si>
    <t>დარეკეთ კანიესთან</t>
  </si>
  <si>
    <t>ვარჯიშის განახლება</t>
  </si>
  <si>
    <t>მთავარი</t>
  </si>
  <si>
    <t>Приоритет</t>
  </si>
  <si>
    <t>Статус</t>
  </si>
  <si>
    <t>Категории</t>
  </si>
  <si>
    <t>ფილტრი პრიორიტეტით</t>
  </si>
  <si>
    <t>ფილტრი სტატუსით</t>
  </si>
  <si>
    <t>ფილტრი კატეგორიით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</si>
</sst>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d.m.yyyy"/>
    <numFmt numFmtId="166" formatCode="dd.mm.yyyy"/>
  </numFmts>
  <fonts count="27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  <font>
      <sz val="36.0"/>
      <color rgb="FFFFFFFF"/>
      <name val="Arial"/>
      <scheme val="minor"/>
    </font>
    <font>
      <color rgb="FF434343"/>
      <name val="Arial"/>
      <scheme val="minor"/>
    </font>
    <font>
      <b/>
      <sz val="14.0"/>
      <color rgb="FFFFFFFF"/>
      <name val="Arial"/>
      <scheme val="minor"/>
    </font>
    <font>
      <b/>
      <sz val="14.0"/>
      <color rgb="FF434343"/>
      <name val="Arial"/>
      <scheme val="minor"/>
    </font>
    <font>
      <sz val="10.0"/>
      <color rgb="FF434343"/>
      <name val="Arial"/>
      <scheme val="minor"/>
    </font>
    <font>
      <sz val="10.0"/>
      <color theme="1"/>
      <name val="Arial"/>
      <scheme val="minor"/>
    </font>
    <font>
      <color rgb="FFFFFFFF"/>
      <name val="Arial"/>
      <scheme val="minor"/>
    </font>
    <font>
      <b/>
      <sz val="22.0"/>
      <color rgb="FFFFFFFF"/>
      <name val="Arial"/>
      <scheme val="minor"/>
    </font>
    <font/>
    <font>
      <sz val="14.0"/>
      <color rgb="FFFFFFFF"/>
      <name val="Arial"/>
      <scheme val="minor"/>
    </font>
    <font>
      <sz val="12.0"/>
      <color rgb="FFFFFFFF"/>
      <name val="Arial"/>
      <scheme val="minor"/>
    </font>
    <font>
      <sz val="10.0"/>
      <color rgb="FFFFFFFF"/>
      <name val="Arial"/>
      <scheme val="minor"/>
    </font>
    <font>
      <b/>
      <color theme="0"/>
      <name val="Arial"/>
      <scheme val="minor"/>
    </font>
    <font>
      <sz val="12.0"/>
      <color theme="1"/>
      <name val="Montserrat"/>
    </font>
    <font>
      <sz val="14.0"/>
      <color theme="0"/>
      <name val="Arial"/>
      <scheme val="minor"/>
    </font>
    <font>
      <sz val="11.0"/>
      <color rgb="FF434343"/>
      <name val="Arial"/>
      <scheme val="minor"/>
    </font>
    <font>
      <color theme="0"/>
      <name val="Arial"/>
      <scheme val="minor"/>
    </font>
    <font>
      <b/>
      <sz val="22.0"/>
      <color theme="0"/>
      <name val="Arial"/>
      <scheme val="minor"/>
    </font>
    <font>
      <sz val="12.0"/>
      <color theme="0"/>
      <name val="Arial"/>
      <scheme val="minor"/>
    </font>
    <font>
      <sz val="10.0"/>
      <color theme="0"/>
      <name val="Arial"/>
      <scheme val="minor"/>
    </font>
    <font>
      <sz val="11.0"/>
      <color rgb="FFFFFFFF"/>
      <name val="Arial"/>
      <scheme val="minor"/>
    </font>
    <font>
      <b/>
      <sz val="12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4">
    <border/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horizontal="center" readingOrder="0" vertical="center"/>
    </xf>
    <xf borderId="0" fillId="0" fontId="6" numFmtId="0" xfId="0" applyFont="1"/>
    <xf borderId="0" fillId="2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2" fontId="7" numFmtId="0" xfId="0" applyAlignment="1" applyFont="1">
      <alignment horizontal="center" readingOrder="0" vertical="center"/>
    </xf>
    <xf borderId="0" fillId="0" fontId="8" numFmtId="0" xfId="0" applyFont="1"/>
    <xf borderId="0" fillId="3" fontId="9" numFmtId="0" xfId="0" applyAlignment="1" applyFill="1" applyFont="1">
      <alignment horizontal="center" readingOrder="0"/>
    </xf>
    <xf borderId="0" fillId="0" fontId="10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3" fontId="9" numFmtId="0" xfId="0" applyAlignment="1" applyFont="1">
      <alignment horizontal="center"/>
    </xf>
    <xf borderId="1" fillId="2" fontId="11" numFmtId="0" xfId="0" applyBorder="1" applyFont="1"/>
    <xf borderId="2" fillId="2" fontId="11" numFmtId="0" xfId="0" applyBorder="1" applyFont="1"/>
    <xf borderId="2" fillId="2" fontId="12" numFmtId="0" xfId="0" applyAlignment="1" applyBorder="1" applyFont="1">
      <alignment horizontal="center" readingOrder="0" vertical="center"/>
    </xf>
    <xf borderId="2" fillId="0" fontId="13" numFmtId="0" xfId="0" applyBorder="1" applyFont="1"/>
    <xf borderId="3" fillId="2" fontId="11" numFmtId="0" xfId="0" applyBorder="1" applyFont="1"/>
    <xf borderId="4" fillId="2" fontId="11" numFmtId="0" xfId="0" applyAlignment="1" applyBorder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1" numFmtId="0" xfId="0" applyFont="1"/>
    <xf borderId="5" fillId="2" fontId="11" numFmtId="0" xfId="0" applyAlignment="1" applyBorder="1" applyFont="1">
      <alignment horizontal="center" vertical="center"/>
    </xf>
    <xf borderId="0" fillId="2" fontId="11" numFmtId="14" xfId="0" applyAlignment="1" applyFont="1" applyNumberFormat="1">
      <alignment horizontal="center" vertical="top"/>
    </xf>
    <xf borderId="0" fillId="2" fontId="16" numFmtId="0" xfId="0" applyAlignment="1" applyFont="1">
      <alignment horizontal="center" readingOrder="0" vertical="center"/>
    </xf>
    <xf borderId="0" fillId="2" fontId="11" numFmtId="0" xfId="0" applyAlignment="1" applyFont="1">
      <alignment horizontal="center" readingOrder="0" vertical="center"/>
    </xf>
    <xf borderId="6" fillId="2" fontId="11" numFmtId="0" xfId="0" applyAlignment="1" applyBorder="1" applyFont="1">
      <alignment horizontal="center" vertical="center"/>
    </xf>
    <xf borderId="7" fillId="0" fontId="13" numFmtId="0" xfId="0" applyBorder="1" applyFont="1"/>
    <xf borderId="7" fillId="2" fontId="12" numFmtId="0" xfId="0" applyAlignment="1" applyBorder="1" applyFont="1">
      <alignment horizontal="center" readingOrder="0" vertical="center"/>
    </xf>
    <xf borderId="7" fillId="2" fontId="11" numFmtId="0" xfId="0" applyAlignment="1" applyBorder="1" applyFont="1">
      <alignment horizontal="center" vertical="center"/>
    </xf>
    <xf borderId="8" fillId="2" fontId="11" numFmtId="0" xfId="0" applyAlignment="1" applyBorder="1" applyFont="1">
      <alignment horizontal="center" vertical="center"/>
    </xf>
    <xf borderId="1" fillId="2" fontId="17" numFmtId="164" xfId="0" applyAlignment="1" applyBorder="1" applyFont="1" applyNumberFormat="1">
      <alignment horizontal="center" vertical="center"/>
    </xf>
    <xf borderId="3" fillId="0" fontId="13" numFmtId="0" xfId="0" applyBorder="1" applyFont="1"/>
    <xf borderId="1" fillId="3" fontId="6" numFmtId="0" xfId="0" applyAlignment="1" applyBorder="1" applyFont="1">
      <alignment horizontal="center" vertical="center"/>
    </xf>
    <xf borderId="0" fillId="0" fontId="18" numFmtId="0" xfId="0" applyAlignment="1" applyFont="1">
      <alignment horizontal="center"/>
    </xf>
    <xf borderId="6" fillId="0" fontId="13" numFmtId="0" xfId="0" applyBorder="1" applyFont="1"/>
    <xf borderId="8" fillId="0" fontId="13" numFmtId="0" xfId="0" applyBorder="1" applyFont="1"/>
    <xf borderId="1" fillId="2" fontId="19" numFmtId="0" xfId="0" applyAlignment="1" applyBorder="1" applyFont="1">
      <alignment horizontal="center" readingOrder="0" vertical="center"/>
    </xf>
    <xf borderId="9" fillId="2" fontId="19" numFmtId="0" xfId="0" applyAlignment="1" applyBorder="1" applyFont="1">
      <alignment horizontal="center" readingOrder="0" vertical="center"/>
    </xf>
    <xf borderId="10" fillId="2" fontId="19" numFmtId="0" xfId="0" applyAlignment="1" applyBorder="1" applyFont="1">
      <alignment horizontal="center" readingOrder="0" vertical="center"/>
    </xf>
    <xf borderId="11" fillId="0" fontId="13" numFmtId="0" xfId="0" applyBorder="1" applyFont="1"/>
    <xf borderId="12" fillId="0" fontId="13" numFmtId="0" xfId="0" applyBorder="1" applyFont="1"/>
    <xf borderId="0" fillId="0" fontId="3" numFmtId="0" xfId="0" applyAlignment="1" applyFont="1">
      <alignment readingOrder="0"/>
    </xf>
    <xf borderId="10" fillId="0" fontId="6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left" readingOrder="0" vertical="center"/>
    </xf>
    <xf borderId="13" fillId="0" fontId="6" numFmtId="165" xfId="0" applyAlignment="1" applyBorder="1" applyFont="1" applyNumberForma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center"/>
    </xf>
    <xf borderId="13" fillId="0" fontId="6" numFmtId="166" xfId="0" applyAlignment="1" applyBorder="1" applyFont="1" applyNumberFormat="1">
      <alignment horizontal="center" readingOrder="0" vertical="center"/>
    </xf>
    <xf borderId="13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vertical="center"/>
    </xf>
    <xf borderId="1" fillId="2" fontId="21" numFmtId="0" xfId="0" applyBorder="1" applyFont="1"/>
    <xf borderId="2" fillId="2" fontId="21" numFmtId="0" xfId="0" applyBorder="1" applyFont="1"/>
    <xf borderId="2" fillId="2" fontId="22" numFmtId="0" xfId="0" applyAlignment="1" applyBorder="1" applyFont="1">
      <alignment horizontal="center" readingOrder="0" vertical="center"/>
    </xf>
    <xf borderId="3" fillId="2" fontId="21" numFmtId="0" xfId="0" applyBorder="1" applyFont="1"/>
    <xf borderId="4" fillId="2" fontId="21" numFmtId="0" xfId="0" applyAlignment="1" applyBorder="1" applyFont="1">
      <alignment horizontal="center" vertical="center"/>
    </xf>
    <xf borderId="0" fillId="2" fontId="19" numFmtId="0" xfId="0" applyAlignment="1" applyFont="1">
      <alignment horizontal="center" readingOrder="0" vertical="center"/>
    </xf>
    <xf borderId="0" fillId="2" fontId="23" numFmtId="0" xfId="0" applyAlignment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0" fillId="2" fontId="21" numFmtId="0" xfId="0" applyFont="1"/>
    <xf borderId="5" fillId="2" fontId="21" numFmtId="0" xfId="0" applyAlignment="1" applyBorder="1" applyFont="1">
      <alignment horizontal="center" vertical="center"/>
    </xf>
    <xf borderId="0" fillId="2" fontId="21" numFmtId="14" xfId="0" applyAlignment="1" applyFont="1" applyNumberFormat="1">
      <alignment horizontal="center" vertical="top"/>
    </xf>
    <xf borderId="0" fillId="2" fontId="24" numFmtId="0" xfId="0" applyAlignment="1" applyFon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6" fillId="2" fontId="21" numFmtId="0" xfId="0" applyAlignment="1" applyBorder="1" applyFont="1">
      <alignment horizontal="center" vertical="center"/>
    </xf>
    <xf borderId="7" fillId="2" fontId="22" numFmtId="0" xfId="0" applyAlignment="1" applyBorder="1" applyFont="1">
      <alignment horizontal="center" readingOrder="0" vertical="center"/>
    </xf>
    <xf borderId="7" fillId="2" fontId="21" numFmtId="0" xfId="0" applyAlignment="1" applyBorder="1" applyFont="1">
      <alignment horizontal="center" vertical="center"/>
    </xf>
    <xf borderId="8" fillId="2" fontId="21" numFmtId="0" xfId="0" applyAlignment="1" applyBorder="1" applyFont="1">
      <alignment horizontal="center" vertical="center"/>
    </xf>
    <xf borderId="4" fillId="2" fontId="14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readingOrder="0" vertical="center"/>
    </xf>
    <xf borderId="0" fillId="2" fontId="25" numFmtId="0" xfId="0" applyAlignment="1" applyFont="1">
      <alignment horizontal="center" readingOrder="0"/>
    </xf>
    <xf borderId="0" fillId="4" fontId="3" numFmtId="0" xfId="0" applyAlignment="1" applyFill="1" applyFont="1">
      <alignment readingOrder="0"/>
    </xf>
    <xf borderId="9" fillId="4" fontId="3" numFmtId="0" xfId="0" applyAlignment="1" applyBorder="1" applyFont="1">
      <alignment readingOrder="0"/>
    </xf>
    <xf borderId="4" fillId="2" fontId="11" numFmtId="14" xfId="0" applyAlignment="1" applyBorder="1" applyFont="1" applyNumberFormat="1">
      <alignment horizontal="center" vertical="top"/>
    </xf>
    <xf borderId="0" fillId="2" fontId="11" numFmtId="0" xfId="0" applyAlignment="1" applyFont="1">
      <alignment horizontal="center" readingOrder="0"/>
    </xf>
    <xf borderId="0" fillId="4" fontId="3" numFmtId="0" xfId="0" applyFont="1"/>
    <xf borderId="9" fillId="4" fontId="3" numFmtId="0" xfId="0" applyBorder="1" applyFont="1"/>
    <xf borderId="0" fillId="0" fontId="3" numFmtId="0" xfId="0" applyFont="1"/>
    <xf borderId="7" fillId="2" fontId="11" numFmtId="0" xfId="0" applyBorder="1" applyFont="1"/>
    <xf borderId="0" fillId="2" fontId="26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  <xf borderId="1" fillId="2" fontId="15" numFmtId="0" xfId="0" applyAlignment="1" applyBorder="1" applyFont="1">
      <alignment horizontal="center" readingOrder="0" vertical="center"/>
    </xf>
    <xf borderId="10" fillId="3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10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>
        <i/>
        <strike/>
        <color rgb="FFB7B7B7"/>
      </font>
      <fill>
        <patternFill patternType="solid">
          <fgColor rgb="FFF3F3F3"/>
          <bgColor rgb="FFF3F3F3"/>
        </patternFill>
      </fill>
      <border/>
    </dxf>
    <dxf>
      <font>
        <color rgb="FF434343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A9999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A4C2F4"/>
              </a:solidFill>
            </c:spPr>
          </c:dPt>
          <c:dPt>
            <c:idx val="3"/>
            <c:explosion val="0"/>
            <c:spPr>
              <a:solidFill>
                <a:srgbClr val="EFEFEF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'მთავარი'!$AE$4:$AE$12</c:f>
            </c:strRef>
          </c:cat>
          <c:val>
            <c:numRef>
              <c:f>'მთავარი'!$AF$4:$AF$12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7305406781161473"/>
          <c:y val="0.027397260273972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F9CB9C"/>
              </a:solidFill>
            </c:spPr>
          </c:dPt>
          <c:dPt>
            <c:idx val="3"/>
            <c:spPr>
              <a:solidFill>
                <a:srgbClr val="EA9999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'მთავარი'!$AG$4:$AG$12</c:f>
            </c:strRef>
          </c:cat>
          <c:val>
            <c:numRef>
              <c:f>'მთავარი'!$AH$4:$AH$12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7329937577543424"/>
          <c:y val="0.03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'მთავარი'!$AJ$3</c:f>
            </c:strRef>
          </c:tx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A2C4C9"/>
              </a:solidFill>
            </c:spPr>
          </c:dPt>
          <c:dPt>
            <c:idx val="2"/>
            <c:spPr>
              <a:solidFill>
                <a:srgbClr val="A4C2F4"/>
              </a:solidFill>
            </c:spPr>
          </c:dPt>
          <c:dPt>
            <c:idx val="3"/>
            <c:spPr>
              <a:solidFill>
                <a:srgbClr val="9FC5E8"/>
              </a:solidFill>
            </c:spPr>
          </c:dPt>
          <c:dPt>
            <c:idx val="4"/>
            <c:spPr>
              <a:solidFill>
                <a:srgbClr val="B4A7D6"/>
              </a:solidFill>
            </c:spPr>
          </c:dPt>
          <c:dPt>
            <c:idx val="5"/>
            <c:spPr>
              <a:solidFill>
                <a:srgbClr val="D5A6BD"/>
              </a:solidFill>
            </c:spPr>
          </c:dPt>
          <c:dPt>
            <c:idx val="6"/>
            <c:spPr>
              <a:solidFill>
                <a:srgbClr val="FFE599"/>
              </a:solidFill>
            </c:spPr>
          </c:dPt>
          <c:dPt>
            <c:idx val="7"/>
            <c:spPr>
              <a:solidFill>
                <a:srgbClr val="EA99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'მთავარი'!$AI$4:$AI$11</c:f>
            </c:strRef>
          </c:cat>
          <c:val>
            <c:numRef>
              <c:f>'მთავარი'!$AJ$4:$AJ$11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7717205039138613"/>
          <c:y val="0.02662884160756502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2.png"/><Relationship Id="rId8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4</xdr:row>
      <xdr:rowOff>161925</xdr:rowOff>
    </xdr:from>
    <xdr:ext cx="5724525" cy="5143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10</xdr:row>
      <xdr:rowOff>104775</xdr:rowOff>
    </xdr:from>
    <xdr:ext cx="4943475" cy="30003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27</xdr:row>
      <xdr:rowOff>133350</xdr:rowOff>
    </xdr:from>
    <xdr:ext cx="4638675" cy="5048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32</xdr:row>
      <xdr:rowOff>66675</xdr:rowOff>
    </xdr:from>
    <xdr:ext cx="4876800" cy="27432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69</xdr:row>
      <xdr:rowOff>171450</xdr:rowOff>
    </xdr:from>
    <xdr:ext cx="4886325" cy="55245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47</xdr:row>
      <xdr:rowOff>228600</xdr:rowOff>
    </xdr:from>
    <xdr:ext cx="10467975" cy="3933825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74</xdr:row>
      <xdr:rowOff>228600</xdr:rowOff>
    </xdr:from>
    <xdr:ext cx="7924800" cy="2581275"/>
    <xdr:pic>
      <xdr:nvPicPr>
        <xdr:cNvPr id="0" name="image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90</xdr:row>
      <xdr:rowOff>171450</xdr:rowOff>
    </xdr:from>
    <xdr:ext cx="13030200" cy="1581150"/>
    <xdr:pic>
      <xdr:nvPicPr>
        <xdr:cNvPr id="0" name="image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7</xdr:row>
      <xdr:rowOff>190500</xdr:rowOff>
    </xdr:from>
    <xdr:ext cx="4095750" cy="23812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304800</xdr:colOff>
      <xdr:row>7</xdr:row>
      <xdr:rowOff>190500</xdr:rowOff>
    </xdr:from>
    <xdr:ext cx="3838575" cy="238125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304800</xdr:colOff>
      <xdr:row>7</xdr:row>
      <xdr:rowOff>190500</xdr:rowOff>
    </xdr:from>
    <xdr:ext cx="3838575" cy="23812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6" max="6" width="18.38"/>
  </cols>
  <sheetData>
    <row r="2">
      <c r="B2" s="1" t="s">
        <v>0</v>
      </c>
    </row>
    <row r="4">
      <c r="B4" s="2" t="s">
        <v>1</v>
      </c>
    </row>
    <row r="8">
      <c r="B8" s="3"/>
      <c r="C8" s="3"/>
      <c r="D8" s="3"/>
      <c r="E8" s="3"/>
      <c r="F8" s="3"/>
      <c r="G8" s="3"/>
    </row>
    <row r="9">
      <c r="B9" s="3"/>
      <c r="C9" s="3"/>
      <c r="D9" s="3"/>
      <c r="E9" s="3"/>
      <c r="F9" s="3"/>
      <c r="G9" s="3"/>
    </row>
    <row r="10">
      <c r="B10" s="4" t="s">
        <v>2</v>
      </c>
      <c r="G10" s="3"/>
    </row>
    <row r="11">
      <c r="B11" s="3"/>
      <c r="C11" s="3"/>
      <c r="D11" s="3"/>
      <c r="E11" s="3"/>
      <c r="F11" s="3"/>
      <c r="G11" s="3"/>
    </row>
    <row r="12">
      <c r="B12" s="3"/>
      <c r="C12" s="3"/>
      <c r="D12" s="3"/>
      <c r="E12" s="3"/>
      <c r="F12" s="3"/>
      <c r="G12" s="3"/>
    </row>
    <row r="25">
      <c r="B25" s="1" t="s">
        <v>3</v>
      </c>
    </row>
    <row r="27">
      <c r="B27" s="2" t="s">
        <v>4</v>
      </c>
    </row>
    <row r="32">
      <c r="B32" s="2" t="s">
        <v>5</v>
      </c>
    </row>
    <row r="48">
      <c r="B48" s="2" t="s">
        <v>6</v>
      </c>
    </row>
    <row r="67">
      <c r="B67" s="1" t="s">
        <v>7</v>
      </c>
    </row>
    <row r="69">
      <c r="B69" s="2" t="s">
        <v>8</v>
      </c>
    </row>
    <row r="75">
      <c r="B75" s="2" t="s">
        <v>9</v>
      </c>
    </row>
    <row r="90">
      <c r="B90" s="2" t="s">
        <v>10</v>
      </c>
    </row>
    <row r="100">
      <c r="B100" s="5" t="s">
        <v>11</v>
      </c>
    </row>
  </sheetData>
  <mergeCells count="2">
    <mergeCell ref="B10:F10"/>
    <mergeCell ref="B100:H10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22.0"/>
    <col customWidth="1" min="3" max="3" width="4.13"/>
    <col customWidth="1" min="4" max="4" width="6.38"/>
    <col customWidth="1" min="6" max="6" width="4.13"/>
    <col customWidth="1" min="7" max="7" width="6.38"/>
  </cols>
  <sheetData>
    <row r="2">
      <c r="B2" s="6" t="s">
        <v>12</v>
      </c>
    </row>
    <row r="6">
      <c r="B6" s="7"/>
      <c r="C6" s="7"/>
      <c r="D6" s="7"/>
      <c r="E6" s="7"/>
      <c r="F6" s="7"/>
      <c r="G6" s="7"/>
      <c r="H6" s="7"/>
    </row>
    <row r="7">
      <c r="B7" s="8" t="s">
        <v>13</v>
      </c>
      <c r="C7" s="9"/>
      <c r="D7" s="10" t="s">
        <v>14</v>
      </c>
      <c r="F7" s="11"/>
      <c r="G7" s="10" t="s">
        <v>15</v>
      </c>
    </row>
    <row r="8">
      <c r="B8" s="12" t="s">
        <v>16</v>
      </c>
      <c r="C8" s="13"/>
      <c r="D8" s="12" t="s">
        <v>17</v>
      </c>
      <c r="F8" s="14"/>
      <c r="G8" s="12" t="s">
        <v>18</v>
      </c>
    </row>
    <row r="9">
      <c r="B9" s="12" t="s">
        <v>19</v>
      </c>
      <c r="C9" s="13"/>
      <c r="D9" s="12" t="s">
        <v>20</v>
      </c>
      <c r="F9" s="14"/>
      <c r="G9" s="12" t="s">
        <v>21</v>
      </c>
    </row>
    <row r="10">
      <c r="B10" s="12" t="s">
        <v>22</v>
      </c>
      <c r="C10" s="13"/>
      <c r="D10" s="12" t="s">
        <v>23</v>
      </c>
      <c r="F10" s="14"/>
      <c r="G10" s="12" t="s">
        <v>24</v>
      </c>
    </row>
    <row r="11">
      <c r="B11" s="12" t="s">
        <v>25</v>
      </c>
      <c r="C11" s="13"/>
      <c r="D11" s="12" t="s">
        <v>26</v>
      </c>
      <c r="F11" s="14"/>
      <c r="G11" s="12" t="s">
        <v>27</v>
      </c>
    </row>
    <row r="12">
      <c r="B12" s="12" t="s">
        <v>28</v>
      </c>
      <c r="C12" s="15"/>
      <c r="D12" s="12"/>
      <c r="F12" s="14"/>
      <c r="G12" s="12"/>
    </row>
    <row r="13">
      <c r="B13" s="12" t="s">
        <v>29</v>
      </c>
      <c r="C13" s="15"/>
      <c r="D13" s="16"/>
      <c r="F13" s="14"/>
      <c r="G13" s="12"/>
    </row>
    <row r="14">
      <c r="B14" s="12" t="s">
        <v>30</v>
      </c>
      <c r="C14" s="15"/>
      <c r="D14" s="16"/>
      <c r="F14" s="14"/>
      <c r="G14" s="12"/>
    </row>
    <row r="15">
      <c r="B15" s="12" t="s">
        <v>31</v>
      </c>
      <c r="C15" s="15"/>
      <c r="D15" s="16"/>
      <c r="F15" s="14"/>
      <c r="G15" s="12"/>
    </row>
    <row r="16">
      <c r="B16" s="12" t="s">
        <v>32</v>
      </c>
      <c r="C16" s="15"/>
      <c r="D16" s="16"/>
      <c r="F16" s="14"/>
      <c r="G16" s="12"/>
    </row>
  </sheetData>
  <mergeCells count="21">
    <mergeCell ref="G9:H9"/>
    <mergeCell ref="G10:H10"/>
    <mergeCell ref="B2:H5"/>
    <mergeCell ref="D7:E7"/>
    <mergeCell ref="G7:H7"/>
    <mergeCell ref="D8:E8"/>
    <mergeCell ref="G8:H8"/>
    <mergeCell ref="D9:E9"/>
    <mergeCell ref="D10:E10"/>
    <mergeCell ref="D14:E14"/>
    <mergeCell ref="D15:E15"/>
    <mergeCell ref="D16:E16"/>
    <mergeCell ref="G15:H15"/>
    <mergeCell ref="G16:H16"/>
    <mergeCell ref="D11:E11"/>
    <mergeCell ref="G11:H11"/>
    <mergeCell ref="D12:E12"/>
    <mergeCell ref="G12:H12"/>
    <mergeCell ref="D13:E13"/>
    <mergeCell ref="G13:H13"/>
    <mergeCell ref="G14:H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13"/>
    <col customWidth="1" min="3" max="5" width="12.63"/>
    <col customWidth="1" min="7" max="7" width="17.5"/>
    <col customWidth="1" min="8" max="8" width="4.13"/>
    <col customWidth="1" min="9" max="9" width="11.13"/>
    <col customWidth="1" min="10" max="10" width="5.63"/>
    <col customWidth="1" min="11" max="11" width="14.38"/>
    <col customWidth="1" min="12" max="12" width="7.5"/>
    <col customWidth="1" min="13" max="13" width="8.63"/>
    <col customWidth="1" min="14" max="14" width="12.63"/>
    <col customWidth="1" min="16" max="16" width="4.13"/>
  </cols>
  <sheetData>
    <row r="2">
      <c r="B2" s="17"/>
      <c r="C2" s="18"/>
      <c r="D2" s="19" t="s">
        <v>33</v>
      </c>
      <c r="E2" s="20"/>
      <c r="F2" s="19"/>
      <c r="G2" s="18"/>
      <c r="H2" s="18"/>
      <c r="I2" s="18"/>
      <c r="J2" s="18"/>
      <c r="K2" s="18"/>
      <c r="L2" s="18"/>
      <c r="M2" s="18"/>
      <c r="N2" s="18"/>
      <c r="O2" s="21"/>
    </row>
    <row r="3">
      <c r="B3" s="22"/>
      <c r="C3" s="23" t="s">
        <v>34</v>
      </c>
      <c r="F3" s="23" t="s">
        <v>35</v>
      </c>
      <c r="G3" s="24" t="s">
        <v>36</v>
      </c>
      <c r="H3" s="25"/>
      <c r="I3" s="24" t="s">
        <v>37</v>
      </c>
      <c r="K3" s="26"/>
      <c r="L3" s="23" t="s">
        <v>38</v>
      </c>
      <c r="M3" s="26"/>
      <c r="N3" s="23" t="s">
        <v>39</v>
      </c>
      <c r="O3" s="27"/>
    </row>
    <row r="4">
      <c r="B4" s="22"/>
      <c r="C4" s="28">
        <f>TODAY()</f>
        <v>46180</v>
      </c>
      <c r="F4" s="29">
        <f>COUNTIFS(F10:F79,"="&amp;TODAY(),B10:B79,FALSE,C10:C79,"&lt;&gt;")</f>
        <v>0</v>
      </c>
      <c r="G4" s="25">
        <f>COUNTA(C10:C79)</f>
        <v>13</v>
      </c>
      <c r="H4" s="25"/>
      <c r="I4" s="30">
        <f>COUNTIFS(F10:F79,"&lt;"&amp;TODAY(),B10:B79,FALSE,C10:C79,"&lt;&gt;")</f>
        <v>9</v>
      </c>
      <c r="K4" s="26"/>
      <c r="L4" s="25">
        <f>G4-N4</f>
        <v>9</v>
      </c>
      <c r="M4" s="26"/>
      <c r="N4" s="25">
        <f>COUNTIFS(B10:B79,TRUE,C10:C79,"&lt;&gt;")</f>
        <v>4</v>
      </c>
      <c r="O4" s="27"/>
    </row>
    <row r="5">
      <c r="B5" s="31"/>
      <c r="C5" s="32"/>
      <c r="D5" s="32"/>
      <c r="E5" s="32"/>
      <c r="F5" s="33"/>
      <c r="G5" s="33"/>
      <c r="H5" s="34"/>
      <c r="I5" s="34"/>
      <c r="J5" s="34"/>
      <c r="K5" s="34"/>
      <c r="L5" s="34"/>
      <c r="M5" s="34"/>
      <c r="N5" s="34"/>
      <c r="O5" s="35"/>
    </row>
    <row r="7">
      <c r="B7" s="36">
        <f>IFERROR(N4/G4,0)</f>
        <v>0.3076923077</v>
      </c>
      <c r="C7" s="37"/>
      <c r="D7" s="38" t="str">
        <f>IFERROR(__xludf.DUMMYFUNCTION("SPARKLINE(B7, {""charttype"",""bar"";""max"",1;""color1"",""#90EE90""})"),"")</f>
        <v/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37"/>
      <c r="R7" s="39"/>
      <c r="T7" s="39"/>
    </row>
    <row r="8">
      <c r="B8" s="40"/>
      <c r="C8" s="41"/>
      <c r="D8" s="40"/>
      <c r="E8" s="32"/>
      <c r="F8" s="32"/>
      <c r="G8" s="32"/>
      <c r="H8" s="32"/>
      <c r="I8" s="32"/>
      <c r="J8" s="32"/>
      <c r="K8" s="32"/>
      <c r="L8" s="32"/>
      <c r="M8" s="32"/>
      <c r="N8" s="32"/>
      <c r="O8" s="41"/>
      <c r="R8" s="39"/>
      <c r="T8" s="39"/>
    </row>
    <row r="9">
      <c r="B9" s="42" t="s">
        <v>40</v>
      </c>
      <c r="C9" s="20"/>
      <c r="D9" s="20"/>
      <c r="E9" s="37"/>
      <c r="F9" s="43" t="s">
        <v>41</v>
      </c>
      <c r="G9" s="43" t="s">
        <v>42</v>
      </c>
      <c r="H9" s="44" t="s">
        <v>15</v>
      </c>
      <c r="I9" s="45"/>
      <c r="J9" s="44" t="s">
        <v>43</v>
      </c>
      <c r="K9" s="45"/>
      <c r="L9" s="44" t="s">
        <v>44</v>
      </c>
      <c r="M9" s="46"/>
      <c r="N9" s="46"/>
      <c r="O9" s="45"/>
      <c r="R9" s="47"/>
    </row>
    <row r="10">
      <c r="B10" s="48" t="b">
        <v>1</v>
      </c>
      <c r="C10" s="49" t="s">
        <v>45</v>
      </c>
      <c r="D10" s="46"/>
      <c r="E10" s="45"/>
      <c r="F10" s="50">
        <v>45989.0</v>
      </c>
      <c r="G10" s="51" t="s">
        <v>17</v>
      </c>
      <c r="H10" s="52" t="s">
        <v>24</v>
      </c>
      <c r="I10" s="41"/>
      <c r="J10" s="53" t="s">
        <v>19</v>
      </c>
      <c r="K10" s="41"/>
      <c r="L10" s="48"/>
      <c r="M10" s="46"/>
      <c r="N10" s="46"/>
      <c r="O10" s="45"/>
    </row>
    <row r="11">
      <c r="B11" s="48" t="b">
        <v>1</v>
      </c>
      <c r="C11" s="49" t="s">
        <v>46</v>
      </c>
      <c r="D11" s="46"/>
      <c r="E11" s="45"/>
      <c r="F11" s="50">
        <v>45990.0</v>
      </c>
      <c r="G11" s="51" t="s">
        <v>17</v>
      </c>
      <c r="H11" s="53" t="s">
        <v>21</v>
      </c>
      <c r="I11" s="41"/>
      <c r="J11" s="53" t="s">
        <v>19</v>
      </c>
      <c r="K11" s="41"/>
      <c r="L11" s="48"/>
      <c r="M11" s="46"/>
      <c r="N11" s="46"/>
      <c r="O11" s="45"/>
    </row>
    <row r="12">
      <c r="B12" s="48" t="b">
        <v>1</v>
      </c>
      <c r="C12" s="49" t="s">
        <v>47</v>
      </c>
      <c r="D12" s="46"/>
      <c r="E12" s="45"/>
      <c r="F12" s="50">
        <v>45991.0</v>
      </c>
      <c r="G12" s="51" t="s">
        <v>20</v>
      </c>
      <c r="H12" s="52" t="s">
        <v>21</v>
      </c>
      <c r="I12" s="41"/>
      <c r="J12" s="53" t="s">
        <v>19</v>
      </c>
      <c r="K12" s="41"/>
      <c r="L12" s="48"/>
      <c r="M12" s="46"/>
      <c r="N12" s="46"/>
      <c r="O12" s="45"/>
    </row>
    <row r="13">
      <c r="B13" s="48" t="b">
        <v>1</v>
      </c>
      <c r="C13" s="49" t="s">
        <v>48</v>
      </c>
      <c r="D13" s="46"/>
      <c r="E13" s="45"/>
      <c r="F13" s="50">
        <v>45961.0</v>
      </c>
      <c r="G13" s="51" t="s">
        <v>23</v>
      </c>
      <c r="H13" s="52" t="s">
        <v>24</v>
      </c>
      <c r="I13" s="41"/>
      <c r="J13" s="52" t="s">
        <v>22</v>
      </c>
      <c r="K13" s="41"/>
      <c r="L13" s="48"/>
      <c r="M13" s="46"/>
      <c r="N13" s="46"/>
      <c r="O13" s="45"/>
    </row>
    <row r="14">
      <c r="B14" s="48" t="b">
        <v>0</v>
      </c>
      <c r="C14" s="49" t="s">
        <v>49</v>
      </c>
      <c r="D14" s="46"/>
      <c r="E14" s="45"/>
      <c r="F14" s="50">
        <v>46002.0</v>
      </c>
      <c r="G14" s="51" t="s">
        <v>20</v>
      </c>
      <c r="H14" s="52" t="s">
        <v>24</v>
      </c>
      <c r="I14" s="41"/>
      <c r="J14" s="52" t="s">
        <v>19</v>
      </c>
      <c r="K14" s="41"/>
      <c r="L14" s="48"/>
      <c r="M14" s="46"/>
      <c r="N14" s="46"/>
      <c r="O14" s="45"/>
    </row>
    <row r="15">
      <c r="B15" s="48" t="b">
        <v>0</v>
      </c>
      <c r="C15" s="49" t="s">
        <v>50</v>
      </c>
      <c r="D15" s="46"/>
      <c r="E15" s="45"/>
      <c r="F15" s="50">
        <v>45975.0</v>
      </c>
      <c r="G15" s="51" t="s">
        <v>23</v>
      </c>
      <c r="H15" s="52" t="s">
        <v>24</v>
      </c>
      <c r="I15" s="41"/>
      <c r="J15" s="52" t="s">
        <v>19</v>
      </c>
      <c r="K15" s="41"/>
      <c r="L15" s="48"/>
      <c r="M15" s="46"/>
      <c r="N15" s="46"/>
      <c r="O15" s="45"/>
    </row>
    <row r="16">
      <c r="B16" s="48" t="b">
        <v>0</v>
      </c>
      <c r="C16" s="49" t="s">
        <v>51</v>
      </c>
      <c r="D16" s="46"/>
      <c r="E16" s="45"/>
      <c r="F16" s="50">
        <v>45976.0</v>
      </c>
      <c r="G16" s="51" t="s">
        <v>17</v>
      </c>
      <c r="H16" s="52" t="s">
        <v>21</v>
      </c>
      <c r="I16" s="41"/>
      <c r="J16" s="52" t="s">
        <v>22</v>
      </c>
      <c r="K16" s="41"/>
      <c r="L16" s="48"/>
      <c r="M16" s="46"/>
      <c r="N16" s="46"/>
      <c r="O16" s="45"/>
    </row>
    <row r="17">
      <c r="B17" s="48" t="b">
        <v>0</v>
      </c>
      <c r="C17" s="49" t="s">
        <v>52</v>
      </c>
      <c r="D17" s="46"/>
      <c r="E17" s="45"/>
      <c r="F17" s="50">
        <v>45976.0</v>
      </c>
      <c r="G17" s="51" t="s">
        <v>20</v>
      </c>
      <c r="H17" s="52" t="s">
        <v>21</v>
      </c>
      <c r="I17" s="41"/>
      <c r="J17" s="52" t="s">
        <v>30</v>
      </c>
      <c r="K17" s="41"/>
      <c r="L17" s="48"/>
      <c r="M17" s="46"/>
      <c r="N17" s="46"/>
      <c r="O17" s="45"/>
    </row>
    <row r="18">
      <c r="B18" s="48" t="b">
        <v>0</v>
      </c>
      <c r="C18" s="49" t="s">
        <v>53</v>
      </c>
      <c r="D18" s="46"/>
      <c r="E18" s="45"/>
      <c r="F18" s="50">
        <v>45976.0</v>
      </c>
      <c r="G18" s="51" t="s">
        <v>23</v>
      </c>
      <c r="H18" s="52" t="s">
        <v>21</v>
      </c>
      <c r="I18" s="41"/>
      <c r="J18" s="52" t="s">
        <v>19</v>
      </c>
      <c r="K18" s="41"/>
      <c r="L18" s="48"/>
      <c r="M18" s="46"/>
      <c r="N18" s="46"/>
      <c r="O18" s="45"/>
    </row>
    <row r="19">
      <c r="B19" s="48" t="b">
        <v>0</v>
      </c>
      <c r="C19" s="49" t="s">
        <v>54</v>
      </c>
      <c r="D19" s="46"/>
      <c r="E19" s="45"/>
      <c r="F19" s="50">
        <v>46007.0</v>
      </c>
      <c r="G19" s="51" t="s">
        <v>26</v>
      </c>
      <c r="H19" s="52" t="s">
        <v>24</v>
      </c>
      <c r="I19" s="41"/>
      <c r="J19" s="52" t="s">
        <v>29</v>
      </c>
      <c r="K19" s="41"/>
      <c r="L19" s="48"/>
      <c r="M19" s="46"/>
      <c r="N19" s="46"/>
      <c r="O19" s="45"/>
    </row>
    <row r="20">
      <c r="B20" s="48" t="b">
        <v>0</v>
      </c>
      <c r="C20" s="49" t="s">
        <v>55</v>
      </c>
      <c r="D20" s="46"/>
      <c r="E20" s="45"/>
      <c r="F20" s="50">
        <v>46011.0</v>
      </c>
      <c r="G20" s="51" t="s">
        <v>20</v>
      </c>
      <c r="H20" s="52" t="s">
        <v>21</v>
      </c>
      <c r="I20" s="41"/>
      <c r="J20" s="52" t="s">
        <v>29</v>
      </c>
      <c r="K20" s="41"/>
      <c r="L20" s="48"/>
      <c r="M20" s="46"/>
      <c r="N20" s="46"/>
      <c r="O20" s="45"/>
    </row>
    <row r="21">
      <c r="B21" s="48" t="b">
        <v>0</v>
      </c>
      <c r="C21" s="49" t="s">
        <v>56</v>
      </c>
      <c r="D21" s="46"/>
      <c r="E21" s="45"/>
      <c r="F21" s="50">
        <v>46013.0</v>
      </c>
      <c r="G21" s="51" t="s">
        <v>26</v>
      </c>
      <c r="H21" s="52" t="s">
        <v>21</v>
      </c>
      <c r="I21" s="41"/>
      <c r="J21" s="52" t="s">
        <v>32</v>
      </c>
      <c r="K21" s="41"/>
      <c r="L21" s="48"/>
      <c r="M21" s="46"/>
      <c r="N21" s="46"/>
      <c r="O21" s="45"/>
    </row>
    <row r="22">
      <c r="B22" s="48" t="b">
        <v>0</v>
      </c>
      <c r="C22" s="49" t="s">
        <v>57</v>
      </c>
      <c r="D22" s="46"/>
      <c r="E22" s="45"/>
      <c r="F22" s="50">
        <v>46010.0</v>
      </c>
      <c r="G22" s="51" t="s">
        <v>17</v>
      </c>
      <c r="H22" s="52" t="s">
        <v>24</v>
      </c>
      <c r="I22" s="41"/>
      <c r="J22" s="52" t="s">
        <v>16</v>
      </c>
      <c r="K22" s="41"/>
      <c r="L22" s="48"/>
      <c r="M22" s="46"/>
      <c r="N22" s="46"/>
      <c r="O22" s="45"/>
    </row>
    <row r="23">
      <c r="B23" s="48" t="b">
        <v>0</v>
      </c>
      <c r="C23" s="49"/>
      <c r="D23" s="46"/>
      <c r="E23" s="45"/>
      <c r="F23" s="54"/>
      <c r="G23" s="51"/>
      <c r="H23" s="52"/>
      <c r="I23" s="41"/>
      <c r="J23" s="52"/>
      <c r="K23" s="41"/>
      <c r="L23" s="48"/>
      <c r="M23" s="46"/>
      <c r="N23" s="46"/>
      <c r="O23" s="45"/>
    </row>
    <row r="24">
      <c r="B24" s="48" t="b">
        <v>0</v>
      </c>
      <c r="C24" s="49"/>
      <c r="D24" s="46"/>
      <c r="E24" s="45"/>
      <c r="F24" s="55"/>
      <c r="G24" s="55"/>
      <c r="H24" s="52"/>
      <c r="I24" s="41"/>
      <c r="J24" s="52"/>
      <c r="K24" s="41"/>
      <c r="L24" s="48"/>
      <c r="M24" s="46"/>
      <c r="N24" s="46"/>
      <c r="O24" s="45"/>
    </row>
    <row r="25">
      <c r="B25" s="48" t="b">
        <v>0</v>
      </c>
      <c r="C25" s="49"/>
      <c r="D25" s="46"/>
      <c r="E25" s="45"/>
      <c r="F25" s="55"/>
      <c r="G25" s="55"/>
      <c r="H25" s="52"/>
      <c r="I25" s="41"/>
      <c r="J25" s="52"/>
      <c r="K25" s="41"/>
      <c r="L25" s="48"/>
      <c r="M25" s="46"/>
      <c r="N25" s="46"/>
      <c r="O25" s="45"/>
    </row>
    <row r="26">
      <c r="B26" s="48" t="b">
        <v>0</v>
      </c>
      <c r="C26" s="49"/>
      <c r="D26" s="46"/>
      <c r="E26" s="45"/>
      <c r="F26" s="55"/>
      <c r="G26" s="55"/>
      <c r="H26" s="52"/>
      <c r="I26" s="41"/>
      <c r="J26" s="52"/>
      <c r="K26" s="41"/>
      <c r="L26" s="48"/>
      <c r="M26" s="46"/>
      <c r="N26" s="46"/>
      <c r="O26" s="45"/>
    </row>
    <row r="27">
      <c r="B27" s="48" t="b">
        <v>0</v>
      </c>
      <c r="C27" s="49"/>
      <c r="D27" s="46"/>
      <c r="E27" s="45"/>
      <c r="F27" s="55"/>
      <c r="G27" s="55"/>
      <c r="H27" s="52"/>
      <c r="I27" s="41"/>
      <c r="J27" s="52"/>
      <c r="K27" s="41"/>
      <c r="L27" s="48"/>
      <c r="M27" s="46"/>
      <c r="N27" s="46"/>
      <c r="O27" s="45"/>
    </row>
    <row r="28">
      <c r="B28" s="48" t="b">
        <v>0</v>
      </c>
      <c r="C28" s="49"/>
      <c r="D28" s="46"/>
      <c r="E28" s="45"/>
      <c r="F28" s="55"/>
      <c r="G28" s="55"/>
      <c r="H28" s="52"/>
      <c r="I28" s="41"/>
      <c r="J28" s="52"/>
      <c r="K28" s="41"/>
      <c r="L28" s="48"/>
      <c r="M28" s="46"/>
      <c r="N28" s="46"/>
      <c r="O28" s="45"/>
    </row>
    <row r="29">
      <c r="B29" s="48" t="b">
        <v>0</v>
      </c>
      <c r="C29" s="49"/>
      <c r="D29" s="46"/>
      <c r="E29" s="45"/>
      <c r="F29" s="55"/>
      <c r="G29" s="55"/>
      <c r="H29" s="52"/>
      <c r="I29" s="41"/>
      <c r="J29" s="52"/>
      <c r="K29" s="41"/>
      <c r="L29" s="48"/>
      <c r="M29" s="46"/>
      <c r="N29" s="46"/>
      <c r="O29" s="45"/>
    </row>
    <row r="30">
      <c r="B30" s="48" t="b">
        <v>0</v>
      </c>
      <c r="C30" s="49"/>
      <c r="D30" s="46"/>
      <c r="E30" s="45"/>
      <c r="F30" s="55"/>
      <c r="G30" s="55"/>
      <c r="H30" s="52"/>
      <c r="I30" s="41"/>
      <c r="J30" s="52"/>
      <c r="K30" s="41"/>
      <c r="L30" s="48"/>
      <c r="M30" s="46"/>
      <c r="N30" s="46"/>
      <c r="O30" s="45"/>
    </row>
    <row r="31">
      <c r="B31" s="48" t="b">
        <v>0</v>
      </c>
      <c r="C31" s="49"/>
      <c r="D31" s="46"/>
      <c r="E31" s="45"/>
      <c r="F31" s="55"/>
      <c r="G31" s="55"/>
      <c r="H31" s="52"/>
      <c r="I31" s="41"/>
      <c r="J31" s="52"/>
      <c r="K31" s="41"/>
      <c r="L31" s="48"/>
      <c r="M31" s="46"/>
      <c r="N31" s="46"/>
      <c r="O31" s="45"/>
    </row>
    <row r="32">
      <c r="B32" s="48" t="b">
        <v>0</v>
      </c>
      <c r="C32" s="49"/>
      <c r="D32" s="46"/>
      <c r="E32" s="45"/>
      <c r="F32" s="55"/>
      <c r="G32" s="55"/>
      <c r="H32" s="52"/>
      <c r="I32" s="41"/>
      <c r="J32" s="52"/>
      <c r="K32" s="41"/>
      <c r="L32" s="48"/>
      <c r="M32" s="46"/>
      <c r="N32" s="46"/>
      <c r="O32" s="45"/>
    </row>
    <row r="33">
      <c r="B33" s="48" t="b">
        <v>0</v>
      </c>
      <c r="C33" s="49"/>
      <c r="D33" s="46"/>
      <c r="E33" s="45"/>
      <c r="F33" s="55"/>
      <c r="G33" s="55"/>
      <c r="H33" s="52"/>
      <c r="I33" s="41"/>
      <c r="J33" s="52"/>
      <c r="K33" s="41"/>
      <c r="L33" s="56"/>
      <c r="M33" s="46"/>
      <c r="N33" s="46"/>
      <c r="O33" s="45"/>
    </row>
    <row r="34">
      <c r="B34" s="48" t="b">
        <v>0</v>
      </c>
      <c r="C34" s="49"/>
      <c r="D34" s="46"/>
      <c r="E34" s="45"/>
      <c r="F34" s="55"/>
      <c r="G34" s="55"/>
      <c r="H34" s="52"/>
      <c r="I34" s="41"/>
      <c r="J34" s="52"/>
      <c r="K34" s="41"/>
      <c r="L34" s="48"/>
      <c r="M34" s="46"/>
      <c r="N34" s="46"/>
      <c r="O34" s="45"/>
    </row>
    <row r="35">
      <c r="B35" s="48" t="b">
        <v>0</v>
      </c>
      <c r="C35" s="49"/>
      <c r="D35" s="46"/>
      <c r="E35" s="45"/>
      <c r="F35" s="57"/>
      <c r="G35" s="57"/>
      <c r="H35" s="48"/>
      <c r="I35" s="45"/>
      <c r="J35" s="48"/>
      <c r="K35" s="45"/>
      <c r="L35" s="48"/>
      <c r="M35" s="46"/>
      <c r="N35" s="46"/>
      <c r="O35" s="45"/>
    </row>
    <row r="36">
      <c r="B36" s="48" t="b">
        <v>0</v>
      </c>
      <c r="C36" s="49"/>
      <c r="D36" s="46"/>
      <c r="E36" s="45"/>
      <c r="F36" s="57"/>
      <c r="G36" s="57"/>
      <c r="H36" s="48"/>
      <c r="I36" s="45"/>
      <c r="J36" s="48"/>
      <c r="K36" s="45"/>
      <c r="L36" s="48"/>
      <c r="M36" s="46"/>
      <c r="N36" s="46"/>
      <c r="O36" s="45"/>
    </row>
    <row r="37">
      <c r="B37" s="48" t="b">
        <v>0</v>
      </c>
      <c r="C37" s="49"/>
      <c r="D37" s="46"/>
      <c r="E37" s="45"/>
      <c r="F37" s="57"/>
      <c r="G37" s="57"/>
      <c r="H37" s="48"/>
      <c r="I37" s="45"/>
      <c r="J37" s="48"/>
      <c r="K37" s="45"/>
      <c r="L37" s="48"/>
      <c r="M37" s="46"/>
      <c r="N37" s="46"/>
      <c r="O37" s="45"/>
    </row>
    <row r="38">
      <c r="B38" s="48" t="b">
        <v>0</v>
      </c>
      <c r="C38" s="49"/>
      <c r="D38" s="46"/>
      <c r="E38" s="45"/>
      <c r="F38" s="57"/>
      <c r="G38" s="57"/>
      <c r="H38" s="48"/>
      <c r="I38" s="45"/>
      <c r="J38" s="48"/>
      <c r="K38" s="45"/>
      <c r="L38" s="48"/>
      <c r="M38" s="46"/>
      <c r="N38" s="46"/>
      <c r="O38" s="45"/>
    </row>
    <row r="39">
      <c r="B39" s="48" t="b">
        <v>0</v>
      </c>
      <c r="C39" s="49"/>
      <c r="D39" s="46"/>
      <c r="E39" s="45"/>
      <c r="F39" s="57"/>
      <c r="G39" s="57"/>
      <c r="H39" s="48"/>
      <c r="I39" s="45"/>
      <c r="J39" s="48"/>
      <c r="K39" s="45"/>
      <c r="L39" s="48"/>
      <c r="M39" s="46"/>
      <c r="N39" s="46"/>
      <c r="O39" s="45"/>
    </row>
    <row r="40">
      <c r="B40" s="48" t="b">
        <v>0</v>
      </c>
      <c r="C40" s="49"/>
      <c r="D40" s="46"/>
      <c r="E40" s="45"/>
      <c r="F40" s="57"/>
      <c r="G40" s="57"/>
      <c r="H40" s="48"/>
      <c r="I40" s="45"/>
      <c r="J40" s="48"/>
      <c r="K40" s="45"/>
      <c r="L40" s="48"/>
      <c r="M40" s="46"/>
      <c r="N40" s="46"/>
      <c r="O40" s="45"/>
    </row>
    <row r="41">
      <c r="B41" s="48" t="b">
        <v>0</v>
      </c>
      <c r="C41" s="49"/>
      <c r="D41" s="46"/>
      <c r="E41" s="45"/>
      <c r="F41" s="57"/>
      <c r="G41" s="57"/>
      <c r="H41" s="48"/>
      <c r="I41" s="45"/>
      <c r="J41" s="48"/>
      <c r="K41" s="45"/>
      <c r="L41" s="48"/>
      <c r="M41" s="46"/>
      <c r="N41" s="46"/>
      <c r="O41" s="45"/>
    </row>
    <row r="42">
      <c r="B42" s="48" t="b">
        <v>0</v>
      </c>
      <c r="C42" s="49"/>
      <c r="D42" s="46"/>
      <c r="E42" s="45"/>
      <c r="F42" s="57"/>
      <c r="G42" s="57"/>
      <c r="H42" s="48"/>
      <c r="I42" s="45"/>
      <c r="J42" s="48"/>
      <c r="K42" s="45"/>
      <c r="L42" s="48"/>
      <c r="M42" s="46"/>
      <c r="N42" s="46"/>
      <c r="O42" s="45"/>
    </row>
    <row r="43">
      <c r="B43" s="48" t="b">
        <v>0</v>
      </c>
      <c r="C43" s="49"/>
      <c r="D43" s="46"/>
      <c r="E43" s="45"/>
      <c r="F43" s="57"/>
      <c r="G43" s="57"/>
      <c r="H43" s="48"/>
      <c r="I43" s="45"/>
      <c r="J43" s="48"/>
      <c r="K43" s="45"/>
      <c r="L43" s="48"/>
      <c r="M43" s="46"/>
      <c r="N43" s="46"/>
      <c r="O43" s="45"/>
    </row>
    <row r="44">
      <c r="B44" s="48" t="b">
        <v>0</v>
      </c>
      <c r="C44" s="49"/>
      <c r="D44" s="46"/>
      <c r="E44" s="45"/>
      <c r="F44" s="57"/>
      <c r="G44" s="57"/>
      <c r="H44" s="48"/>
      <c r="I44" s="45"/>
      <c r="J44" s="48"/>
      <c r="K44" s="45"/>
      <c r="L44" s="48"/>
      <c r="M44" s="46"/>
      <c r="N44" s="46"/>
      <c r="O44" s="45"/>
    </row>
    <row r="45">
      <c r="B45" s="48" t="b">
        <v>0</v>
      </c>
      <c r="C45" s="49"/>
      <c r="D45" s="46"/>
      <c r="E45" s="45"/>
      <c r="F45" s="57"/>
      <c r="G45" s="57"/>
      <c r="H45" s="48"/>
      <c r="I45" s="45"/>
      <c r="J45" s="48"/>
      <c r="K45" s="45"/>
      <c r="L45" s="48"/>
      <c r="M45" s="46"/>
      <c r="N45" s="46"/>
      <c r="O45" s="45"/>
    </row>
    <row r="46">
      <c r="B46" s="48" t="b">
        <v>0</v>
      </c>
      <c r="C46" s="49"/>
      <c r="D46" s="46"/>
      <c r="E46" s="45"/>
      <c r="F46" s="57"/>
      <c r="G46" s="57"/>
      <c r="H46" s="48"/>
      <c r="I46" s="45"/>
      <c r="J46" s="48"/>
      <c r="K46" s="45"/>
      <c r="L46" s="48"/>
      <c r="M46" s="46"/>
      <c r="N46" s="46"/>
      <c r="O46" s="45"/>
    </row>
    <row r="47">
      <c r="B47" s="48" t="b">
        <v>0</v>
      </c>
      <c r="C47" s="49"/>
      <c r="D47" s="46"/>
      <c r="E47" s="45"/>
      <c r="F47" s="57"/>
      <c r="G47" s="57"/>
      <c r="H47" s="48"/>
      <c r="I47" s="45"/>
      <c r="J47" s="48"/>
      <c r="K47" s="45"/>
      <c r="L47" s="48"/>
      <c r="M47" s="46"/>
      <c r="N47" s="46"/>
      <c r="O47" s="45"/>
    </row>
    <row r="48">
      <c r="B48" s="48" t="b">
        <v>0</v>
      </c>
      <c r="C48" s="49"/>
      <c r="D48" s="46"/>
      <c r="E48" s="45"/>
      <c r="F48" s="57"/>
      <c r="G48" s="57"/>
      <c r="H48" s="48"/>
      <c r="I48" s="45"/>
      <c r="J48" s="48"/>
      <c r="K48" s="45"/>
      <c r="L48" s="48"/>
      <c r="M48" s="46"/>
      <c r="N48" s="46"/>
      <c r="O48" s="45"/>
    </row>
    <row r="49">
      <c r="B49" s="48" t="b">
        <v>0</v>
      </c>
      <c r="C49" s="49"/>
      <c r="D49" s="46"/>
      <c r="E49" s="45"/>
      <c r="F49" s="57"/>
      <c r="G49" s="57"/>
      <c r="H49" s="48"/>
      <c r="I49" s="45"/>
      <c r="J49" s="48"/>
      <c r="K49" s="45"/>
      <c r="L49" s="48"/>
      <c r="M49" s="46"/>
      <c r="N49" s="46"/>
      <c r="O49" s="45"/>
    </row>
    <row r="50">
      <c r="B50" s="48" t="b">
        <v>0</v>
      </c>
      <c r="C50" s="49"/>
      <c r="D50" s="46"/>
      <c r="E50" s="45"/>
      <c r="F50" s="57"/>
      <c r="G50" s="57"/>
      <c r="H50" s="48"/>
      <c r="I50" s="45"/>
      <c r="J50" s="48"/>
      <c r="K50" s="45"/>
      <c r="L50" s="48"/>
      <c r="M50" s="46"/>
      <c r="N50" s="46"/>
      <c r="O50" s="45"/>
    </row>
    <row r="51">
      <c r="B51" s="48" t="b">
        <v>0</v>
      </c>
      <c r="C51" s="49"/>
      <c r="D51" s="46"/>
      <c r="E51" s="45"/>
      <c r="F51" s="57"/>
      <c r="G51" s="57"/>
      <c r="H51" s="48"/>
      <c r="I51" s="45"/>
      <c r="J51" s="48"/>
      <c r="K51" s="45"/>
      <c r="L51" s="48"/>
      <c r="M51" s="46"/>
      <c r="N51" s="46"/>
      <c r="O51" s="45"/>
    </row>
    <row r="52">
      <c r="B52" s="48" t="b">
        <v>0</v>
      </c>
      <c r="C52" s="49"/>
      <c r="D52" s="46"/>
      <c r="E52" s="45"/>
      <c r="F52" s="57"/>
      <c r="G52" s="57"/>
      <c r="H52" s="48"/>
      <c r="I52" s="45"/>
      <c r="J52" s="48"/>
      <c r="K52" s="45"/>
      <c r="L52" s="48"/>
      <c r="M52" s="46"/>
      <c r="N52" s="46"/>
      <c r="O52" s="45"/>
    </row>
    <row r="53">
      <c r="B53" s="48" t="b">
        <v>0</v>
      </c>
      <c r="C53" s="49"/>
      <c r="D53" s="46"/>
      <c r="E53" s="45"/>
      <c r="F53" s="57"/>
      <c r="G53" s="57"/>
      <c r="H53" s="48"/>
      <c r="I53" s="45"/>
      <c r="J53" s="48"/>
      <c r="K53" s="45"/>
      <c r="L53" s="48"/>
      <c r="M53" s="46"/>
      <c r="N53" s="46"/>
      <c r="O53" s="45"/>
    </row>
    <row r="54">
      <c r="B54" s="48" t="b">
        <v>0</v>
      </c>
      <c r="C54" s="49"/>
      <c r="D54" s="46"/>
      <c r="E54" s="45"/>
      <c r="F54" s="57"/>
      <c r="G54" s="57"/>
      <c r="H54" s="48"/>
      <c r="I54" s="45"/>
      <c r="J54" s="48"/>
      <c r="K54" s="45"/>
      <c r="L54" s="48"/>
      <c r="M54" s="46"/>
      <c r="N54" s="46"/>
      <c r="O54" s="45"/>
    </row>
    <row r="55">
      <c r="B55" s="48" t="b">
        <v>0</v>
      </c>
      <c r="C55" s="49"/>
      <c r="D55" s="46"/>
      <c r="E55" s="45"/>
      <c r="F55" s="57"/>
      <c r="G55" s="57"/>
      <c r="H55" s="48"/>
      <c r="I55" s="45"/>
      <c r="J55" s="48"/>
      <c r="K55" s="45"/>
      <c r="L55" s="48"/>
      <c r="M55" s="46"/>
      <c r="N55" s="46"/>
      <c r="O55" s="45"/>
    </row>
    <row r="56">
      <c r="B56" s="48" t="b">
        <v>0</v>
      </c>
      <c r="C56" s="49"/>
      <c r="D56" s="46"/>
      <c r="E56" s="45"/>
      <c r="F56" s="57"/>
      <c r="G56" s="57"/>
      <c r="H56" s="48"/>
      <c r="I56" s="45"/>
      <c r="J56" s="48"/>
      <c r="K56" s="45"/>
      <c r="L56" s="48"/>
      <c r="M56" s="46"/>
      <c r="N56" s="46"/>
      <c r="O56" s="45"/>
    </row>
    <row r="57">
      <c r="B57" s="48" t="b">
        <v>0</v>
      </c>
      <c r="C57" s="49"/>
      <c r="D57" s="46"/>
      <c r="E57" s="45"/>
      <c r="F57" s="57"/>
      <c r="G57" s="57"/>
      <c r="H57" s="48"/>
      <c r="I57" s="45"/>
      <c r="J57" s="48"/>
      <c r="K57" s="45"/>
      <c r="L57" s="48"/>
      <c r="M57" s="46"/>
      <c r="N57" s="46"/>
      <c r="O57" s="45"/>
    </row>
    <row r="58">
      <c r="B58" s="48" t="b">
        <v>0</v>
      </c>
      <c r="C58" s="49"/>
      <c r="D58" s="46"/>
      <c r="E58" s="45"/>
      <c r="F58" s="57"/>
      <c r="G58" s="57"/>
      <c r="H58" s="48"/>
      <c r="I58" s="45"/>
      <c r="J58" s="48"/>
      <c r="K58" s="45"/>
      <c r="L58" s="48"/>
      <c r="M58" s="46"/>
      <c r="N58" s="46"/>
      <c r="O58" s="45"/>
    </row>
    <row r="59">
      <c r="B59" s="48" t="b">
        <v>0</v>
      </c>
      <c r="C59" s="49"/>
      <c r="D59" s="46"/>
      <c r="E59" s="45"/>
      <c r="F59" s="57"/>
      <c r="G59" s="57"/>
      <c r="H59" s="48"/>
      <c r="I59" s="45"/>
      <c r="J59" s="48"/>
      <c r="K59" s="45"/>
      <c r="L59" s="48"/>
      <c r="M59" s="46"/>
      <c r="N59" s="46"/>
      <c r="O59" s="45"/>
    </row>
    <row r="60">
      <c r="B60" s="48" t="b">
        <v>0</v>
      </c>
      <c r="C60" s="49"/>
      <c r="D60" s="46"/>
      <c r="E60" s="45"/>
      <c r="F60" s="57"/>
      <c r="G60" s="57"/>
      <c r="H60" s="48"/>
      <c r="I60" s="45"/>
      <c r="J60" s="48"/>
      <c r="K60" s="45"/>
      <c r="L60" s="48"/>
      <c r="M60" s="46"/>
      <c r="N60" s="46"/>
      <c r="O60" s="45"/>
    </row>
    <row r="61">
      <c r="B61" s="48" t="b">
        <v>0</v>
      </c>
      <c r="C61" s="49"/>
      <c r="D61" s="46"/>
      <c r="E61" s="45"/>
      <c r="F61" s="57"/>
      <c r="G61" s="57"/>
      <c r="H61" s="48"/>
      <c r="I61" s="45"/>
      <c r="J61" s="48"/>
      <c r="K61" s="45"/>
      <c r="L61" s="48"/>
      <c r="M61" s="46"/>
      <c r="N61" s="46"/>
      <c r="O61" s="45"/>
    </row>
    <row r="62">
      <c r="B62" s="48" t="b">
        <v>0</v>
      </c>
      <c r="C62" s="49"/>
      <c r="D62" s="46"/>
      <c r="E62" s="45"/>
      <c r="F62" s="57"/>
      <c r="G62" s="57"/>
      <c r="H62" s="48"/>
      <c r="I62" s="45"/>
      <c r="J62" s="48"/>
      <c r="K62" s="45"/>
      <c r="L62" s="48"/>
      <c r="M62" s="46"/>
      <c r="N62" s="46"/>
      <c r="O62" s="45"/>
    </row>
    <row r="63">
      <c r="B63" s="48" t="b">
        <v>0</v>
      </c>
      <c r="C63" s="49"/>
      <c r="D63" s="46"/>
      <c r="E63" s="45"/>
      <c r="F63" s="57"/>
      <c r="G63" s="57"/>
      <c r="H63" s="48"/>
      <c r="I63" s="45"/>
      <c r="J63" s="48"/>
      <c r="K63" s="45"/>
      <c r="L63" s="48"/>
      <c r="M63" s="46"/>
      <c r="N63" s="46"/>
      <c r="O63" s="45"/>
    </row>
    <row r="64">
      <c r="B64" s="48" t="b">
        <v>0</v>
      </c>
      <c r="C64" s="49"/>
      <c r="D64" s="46"/>
      <c r="E64" s="45"/>
      <c r="F64" s="57"/>
      <c r="G64" s="57"/>
      <c r="H64" s="48"/>
      <c r="I64" s="45"/>
      <c r="J64" s="48"/>
      <c r="K64" s="45"/>
      <c r="L64" s="48"/>
      <c r="M64" s="46"/>
      <c r="N64" s="46"/>
      <c r="O64" s="45"/>
    </row>
    <row r="65">
      <c r="B65" s="48" t="b">
        <v>0</v>
      </c>
      <c r="C65" s="49"/>
      <c r="D65" s="46"/>
      <c r="E65" s="45"/>
      <c r="F65" s="57"/>
      <c r="G65" s="57"/>
      <c r="H65" s="48"/>
      <c r="I65" s="45"/>
      <c r="J65" s="48"/>
      <c r="K65" s="45"/>
      <c r="L65" s="48"/>
      <c r="M65" s="46"/>
      <c r="N65" s="46"/>
      <c r="O65" s="45"/>
    </row>
    <row r="66">
      <c r="B66" s="48" t="b">
        <v>0</v>
      </c>
      <c r="C66" s="49"/>
      <c r="D66" s="46"/>
      <c r="E66" s="45"/>
      <c r="F66" s="57"/>
      <c r="G66" s="57"/>
      <c r="H66" s="48"/>
      <c r="I66" s="45"/>
      <c r="J66" s="48"/>
      <c r="K66" s="45"/>
      <c r="L66" s="48"/>
      <c r="M66" s="46"/>
      <c r="N66" s="46"/>
      <c r="O66" s="45"/>
    </row>
    <row r="67">
      <c r="B67" s="48" t="b">
        <v>0</v>
      </c>
      <c r="C67" s="49"/>
      <c r="D67" s="46"/>
      <c r="E67" s="45"/>
      <c r="F67" s="57"/>
      <c r="G67" s="57"/>
      <c r="H67" s="48"/>
      <c r="I67" s="45"/>
      <c r="J67" s="48"/>
      <c r="K67" s="45"/>
      <c r="L67" s="48"/>
      <c r="M67" s="46"/>
      <c r="N67" s="46"/>
      <c r="O67" s="45"/>
    </row>
    <row r="68">
      <c r="B68" s="48" t="b">
        <v>0</v>
      </c>
      <c r="C68" s="49"/>
      <c r="D68" s="46"/>
      <c r="E68" s="45"/>
      <c r="F68" s="57"/>
      <c r="G68" s="57"/>
      <c r="H68" s="48"/>
      <c r="I68" s="45"/>
      <c r="J68" s="48"/>
      <c r="K68" s="45"/>
      <c r="L68" s="48"/>
      <c r="M68" s="46"/>
      <c r="N68" s="46"/>
      <c r="O68" s="45"/>
    </row>
    <row r="69">
      <c r="B69" s="48" t="b">
        <v>0</v>
      </c>
      <c r="C69" s="49"/>
      <c r="D69" s="46"/>
      <c r="E69" s="45"/>
      <c r="F69" s="57"/>
      <c r="G69" s="57"/>
      <c r="H69" s="48"/>
      <c r="I69" s="45"/>
      <c r="J69" s="48"/>
      <c r="K69" s="45"/>
      <c r="L69" s="48"/>
      <c r="M69" s="46"/>
      <c r="N69" s="46"/>
      <c r="O69" s="45"/>
    </row>
    <row r="70">
      <c r="B70" s="48" t="b">
        <v>0</v>
      </c>
      <c r="C70" s="49"/>
      <c r="D70" s="46"/>
      <c r="E70" s="45"/>
      <c r="F70" s="57"/>
      <c r="G70" s="57"/>
      <c r="H70" s="48"/>
      <c r="I70" s="45"/>
      <c r="J70" s="48"/>
      <c r="K70" s="45"/>
      <c r="L70" s="48"/>
      <c r="M70" s="46"/>
      <c r="N70" s="46"/>
      <c r="O70" s="45"/>
    </row>
    <row r="71">
      <c r="B71" s="48" t="b">
        <v>0</v>
      </c>
      <c r="C71" s="49"/>
      <c r="D71" s="46"/>
      <c r="E71" s="45"/>
      <c r="F71" s="57"/>
      <c r="G71" s="57"/>
      <c r="H71" s="48"/>
      <c r="I71" s="45"/>
      <c r="J71" s="48"/>
      <c r="K71" s="45"/>
      <c r="L71" s="48"/>
      <c r="M71" s="46"/>
      <c r="N71" s="46"/>
      <c r="O71" s="45"/>
    </row>
    <row r="72">
      <c r="B72" s="48" t="b">
        <v>0</v>
      </c>
      <c r="C72" s="49"/>
      <c r="D72" s="46"/>
      <c r="E72" s="45"/>
      <c r="F72" s="57"/>
      <c r="G72" s="57"/>
      <c r="H72" s="48"/>
      <c r="I72" s="45"/>
      <c r="J72" s="48"/>
      <c r="K72" s="45"/>
      <c r="L72" s="48"/>
      <c r="M72" s="46"/>
      <c r="N72" s="46"/>
      <c r="O72" s="45"/>
    </row>
    <row r="73">
      <c r="B73" s="48" t="b">
        <v>0</v>
      </c>
      <c r="C73" s="49"/>
      <c r="D73" s="46"/>
      <c r="E73" s="45"/>
      <c r="F73" s="57"/>
      <c r="G73" s="57"/>
      <c r="H73" s="48"/>
      <c r="I73" s="45"/>
      <c r="J73" s="48"/>
      <c r="K73" s="45"/>
      <c r="L73" s="48"/>
      <c r="M73" s="46"/>
      <c r="N73" s="46"/>
      <c r="O73" s="45"/>
    </row>
    <row r="74">
      <c r="B74" s="48" t="b">
        <v>0</v>
      </c>
      <c r="C74" s="49"/>
      <c r="D74" s="46"/>
      <c r="E74" s="45"/>
      <c r="F74" s="57"/>
      <c r="G74" s="57"/>
      <c r="H74" s="48"/>
      <c r="I74" s="45"/>
      <c r="J74" s="48"/>
      <c r="K74" s="45"/>
      <c r="L74" s="48"/>
      <c r="M74" s="46"/>
      <c r="N74" s="46"/>
      <c r="O74" s="45"/>
    </row>
    <row r="75">
      <c r="B75" s="48" t="b">
        <v>0</v>
      </c>
      <c r="C75" s="49"/>
      <c r="D75" s="46"/>
      <c r="E75" s="45"/>
      <c r="F75" s="57"/>
      <c r="G75" s="57"/>
      <c r="H75" s="48"/>
      <c r="I75" s="45"/>
      <c r="J75" s="48"/>
      <c r="K75" s="45"/>
      <c r="L75" s="48"/>
      <c r="M75" s="46"/>
      <c r="N75" s="46"/>
      <c r="O75" s="45"/>
    </row>
    <row r="76">
      <c r="B76" s="48" t="b">
        <v>0</v>
      </c>
      <c r="C76" s="49"/>
      <c r="D76" s="46"/>
      <c r="E76" s="45"/>
      <c r="F76" s="57"/>
      <c r="G76" s="57"/>
      <c r="H76" s="48"/>
      <c r="I76" s="45"/>
      <c r="J76" s="48"/>
      <c r="K76" s="45"/>
      <c r="L76" s="48"/>
      <c r="M76" s="46"/>
      <c r="N76" s="46"/>
      <c r="O76" s="45"/>
    </row>
    <row r="77">
      <c r="B77" s="48" t="b">
        <v>0</v>
      </c>
      <c r="C77" s="49"/>
      <c r="D77" s="46"/>
      <c r="E77" s="45"/>
      <c r="F77" s="57"/>
      <c r="G77" s="57"/>
      <c r="H77" s="48"/>
      <c r="I77" s="45"/>
      <c r="J77" s="48"/>
      <c r="K77" s="45"/>
      <c r="L77" s="48"/>
      <c r="M77" s="46"/>
      <c r="N77" s="46"/>
      <c r="O77" s="45"/>
    </row>
    <row r="78">
      <c r="B78" s="48" t="b">
        <v>0</v>
      </c>
      <c r="C78" s="49"/>
      <c r="D78" s="46"/>
      <c r="E78" s="45"/>
      <c r="F78" s="57"/>
      <c r="G78" s="57"/>
      <c r="H78" s="48"/>
      <c r="I78" s="45"/>
      <c r="J78" s="48"/>
      <c r="K78" s="45"/>
      <c r="L78" s="48"/>
      <c r="M78" s="46"/>
      <c r="N78" s="46"/>
      <c r="O78" s="45"/>
    </row>
    <row r="79">
      <c r="B79" s="48" t="b">
        <v>0</v>
      </c>
      <c r="C79" s="49"/>
      <c r="D79" s="46"/>
      <c r="E79" s="45"/>
      <c r="F79" s="57"/>
      <c r="G79" s="57"/>
      <c r="H79" s="48"/>
      <c r="I79" s="45"/>
      <c r="J79" s="48"/>
      <c r="K79" s="45"/>
      <c r="L79" s="48"/>
      <c r="M79" s="46"/>
      <c r="N79" s="46"/>
      <c r="O79" s="45"/>
    </row>
  </sheetData>
  <customSheetViews>
    <customSheetView guid="{77955C4A-3814-41F3-BBB5-0D153A35ABDC}" filter="1" showAutoFilter="1">
      <autoFilter ref="$B$9:$O$79">
        <filterColumn colId="0">
          <filters>
            <filter val="FALSE"/>
          </filters>
        </filterColumn>
        <filterColumn colId="4">
          <filters>
            <filter val="29.11.2025"/>
            <filter val="11.12.2025"/>
            <filter val="16.12.2025"/>
            <filter val="28.11.2025"/>
            <filter val="30.11.2025"/>
            <filter val="20.12.2025"/>
            <filter val="31.10.2025"/>
            <filter val="15.11.2025"/>
            <filter val="19.12.2025"/>
            <filter val="14.11.2025"/>
            <filter val="22.12.2025"/>
          </filters>
        </filterColumn>
      </autoFilter>
    </customSheetView>
    <customSheetView guid="{1866274F-8CAD-4BFD-8599-BA9FD7FBA376}" filter="1" showAutoFilter="1">
      <autoFilter ref="$B$9:$O$79">
        <sortState ref="B9:O79">
          <sortCondition ref="F9:F79"/>
        </sortState>
      </autoFilter>
    </customSheetView>
    <customSheetView guid="{51B225B4-9D56-4685-B6CC-63F308A21EDE}" filter="1" showAutoFilter="1">
      <autoFilter ref="$B$9:$O$79">
        <filterColumn colId="0">
          <filters>
            <filter val="FALSE"/>
          </filters>
        </filterColumn>
        <filterColumn colId="4">
          <filters/>
        </filterColumn>
      </autoFilter>
    </customSheetView>
  </customSheetViews>
  <mergeCells count="290">
    <mergeCell ref="C16:E16"/>
    <mergeCell ref="C17:E17"/>
    <mergeCell ref="H17:I17"/>
    <mergeCell ref="J17:K17"/>
    <mergeCell ref="L17:O17"/>
    <mergeCell ref="J18:K18"/>
    <mergeCell ref="L18:O18"/>
    <mergeCell ref="H18:I18"/>
    <mergeCell ref="H19:I19"/>
    <mergeCell ref="J19:K19"/>
    <mergeCell ref="L19:O19"/>
    <mergeCell ref="H20:I20"/>
    <mergeCell ref="J20:K20"/>
    <mergeCell ref="L20:O20"/>
    <mergeCell ref="J23:K23"/>
    <mergeCell ref="L23:O23"/>
    <mergeCell ref="H21:I21"/>
    <mergeCell ref="J21:K21"/>
    <mergeCell ref="L21:O21"/>
    <mergeCell ref="H22:I22"/>
    <mergeCell ref="J22:K22"/>
    <mergeCell ref="L22:O22"/>
    <mergeCell ref="H23:I23"/>
    <mergeCell ref="J26:K26"/>
    <mergeCell ref="L26:O26"/>
    <mergeCell ref="H24:I24"/>
    <mergeCell ref="J24:K24"/>
    <mergeCell ref="L24:O24"/>
    <mergeCell ref="H25:I25"/>
    <mergeCell ref="J25:K25"/>
    <mergeCell ref="L25:O25"/>
    <mergeCell ref="H26:I26"/>
    <mergeCell ref="J29:K29"/>
    <mergeCell ref="L29:O29"/>
    <mergeCell ref="H27:I27"/>
    <mergeCell ref="J27:K27"/>
    <mergeCell ref="L27:O27"/>
    <mergeCell ref="H28:I28"/>
    <mergeCell ref="J28:K28"/>
    <mergeCell ref="L28:O28"/>
    <mergeCell ref="H29:I29"/>
    <mergeCell ref="J32:K32"/>
    <mergeCell ref="L32:O32"/>
    <mergeCell ref="H30:I30"/>
    <mergeCell ref="J30:K30"/>
    <mergeCell ref="L30:O30"/>
    <mergeCell ref="H31:I31"/>
    <mergeCell ref="J31:K31"/>
    <mergeCell ref="L31:O31"/>
    <mergeCell ref="H32:I32"/>
    <mergeCell ref="J35:K35"/>
    <mergeCell ref="L35:O35"/>
    <mergeCell ref="H33:I33"/>
    <mergeCell ref="J33:K33"/>
    <mergeCell ref="L33:O33"/>
    <mergeCell ref="H34:I34"/>
    <mergeCell ref="J34:K34"/>
    <mergeCell ref="L34:O34"/>
    <mergeCell ref="H35:I35"/>
    <mergeCell ref="J38:K38"/>
    <mergeCell ref="L38:O38"/>
    <mergeCell ref="H36:I36"/>
    <mergeCell ref="J36:K36"/>
    <mergeCell ref="L36:O36"/>
    <mergeCell ref="H37:I37"/>
    <mergeCell ref="J37:K37"/>
    <mergeCell ref="L37:O37"/>
    <mergeCell ref="H38:I38"/>
    <mergeCell ref="J41:K41"/>
    <mergeCell ref="L41:O41"/>
    <mergeCell ref="H39:I39"/>
    <mergeCell ref="J39:K39"/>
    <mergeCell ref="L39:O39"/>
    <mergeCell ref="H40:I40"/>
    <mergeCell ref="J40:K40"/>
    <mergeCell ref="L40:O40"/>
    <mergeCell ref="H41:I41"/>
    <mergeCell ref="J44:K44"/>
    <mergeCell ref="L44:O44"/>
    <mergeCell ref="H42:I42"/>
    <mergeCell ref="J42:K42"/>
    <mergeCell ref="L42:O42"/>
    <mergeCell ref="H43:I43"/>
    <mergeCell ref="J43:K43"/>
    <mergeCell ref="L43:O43"/>
    <mergeCell ref="H44:I44"/>
    <mergeCell ref="J47:K47"/>
    <mergeCell ref="L47:O47"/>
    <mergeCell ref="H45:I45"/>
    <mergeCell ref="J45:K45"/>
    <mergeCell ref="L45:O45"/>
    <mergeCell ref="H46:I46"/>
    <mergeCell ref="J46:K46"/>
    <mergeCell ref="L46:O46"/>
    <mergeCell ref="H47:I47"/>
    <mergeCell ref="J50:K50"/>
    <mergeCell ref="L50:O50"/>
    <mergeCell ref="H48:I48"/>
    <mergeCell ref="J48:K48"/>
    <mergeCell ref="L48:O48"/>
    <mergeCell ref="H49:I49"/>
    <mergeCell ref="J49:K49"/>
    <mergeCell ref="L49:O49"/>
    <mergeCell ref="H50:I50"/>
    <mergeCell ref="J53:K53"/>
    <mergeCell ref="L53:O53"/>
    <mergeCell ref="H51:I51"/>
    <mergeCell ref="J51:K51"/>
    <mergeCell ref="L51:O51"/>
    <mergeCell ref="H52:I52"/>
    <mergeCell ref="J52:K52"/>
    <mergeCell ref="L52:O52"/>
    <mergeCell ref="H53:I53"/>
    <mergeCell ref="J56:K56"/>
    <mergeCell ref="L56:O56"/>
    <mergeCell ref="H54:I54"/>
    <mergeCell ref="J54:K54"/>
    <mergeCell ref="L54:O54"/>
    <mergeCell ref="H55:I55"/>
    <mergeCell ref="J55:K55"/>
    <mergeCell ref="L55:O55"/>
    <mergeCell ref="H56:I56"/>
    <mergeCell ref="J59:K59"/>
    <mergeCell ref="L59:O59"/>
    <mergeCell ref="H57:I57"/>
    <mergeCell ref="J57:K57"/>
    <mergeCell ref="L57:O57"/>
    <mergeCell ref="H58:I58"/>
    <mergeCell ref="J58:K58"/>
    <mergeCell ref="L58:O58"/>
    <mergeCell ref="H59:I59"/>
    <mergeCell ref="B9:E9"/>
    <mergeCell ref="C10:E10"/>
    <mergeCell ref="C11:E11"/>
    <mergeCell ref="C12:E12"/>
    <mergeCell ref="C13:E13"/>
    <mergeCell ref="C14:E14"/>
    <mergeCell ref="C15:E15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D2:E5"/>
    <mergeCell ref="I3:J3"/>
    <mergeCell ref="C4:C5"/>
    <mergeCell ref="I4:J4"/>
    <mergeCell ref="B7:C8"/>
    <mergeCell ref="D7:O8"/>
    <mergeCell ref="L9:O9"/>
    <mergeCell ref="L12:O12"/>
    <mergeCell ref="L13:O13"/>
    <mergeCell ref="L14:O14"/>
    <mergeCell ref="H9:I9"/>
    <mergeCell ref="J9:K9"/>
    <mergeCell ref="H10:I10"/>
    <mergeCell ref="J10:K10"/>
    <mergeCell ref="L10:O10"/>
    <mergeCell ref="J11:K11"/>
    <mergeCell ref="L11:O11"/>
    <mergeCell ref="H15:I15"/>
    <mergeCell ref="J15:K15"/>
    <mergeCell ref="L15:O15"/>
    <mergeCell ref="H16:I16"/>
    <mergeCell ref="J16:K16"/>
    <mergeCell ref="L16:O16"/>
    <mergeCell ref="H11:I11"/>
    <mergeCell ref="H12:I12"/>
    <mergeCell ref="J12:K12"/>
    <mergeCell ref="H13:I13"/>
    <mergeCell ref="J13:K13"/>
    <mergeCell ref="H14:I14"/>
    <mergeCell ref="J14:K14"/>
    <mergeCell ref="H78:I78"/>
    <mergeCell ref="J78:K78"/>
    <mergeCell ref="L78:O78"/>
    <mergeCell ref="J62:K62"/>
    <mergeCell ref="L62:O62"/>
    <mergeCell ref="H60:I60"/>
    <mergeCell ref="J60:K60"/>
    <mergeCell ref="L60:O60"/>
    <mergeCell ref="H61:I61"/>
    <mergeCell ref="J61:K61"/>
    <mergeCell ref="L61:O61"/>
    <mergeCell ref="H62:I62"/>
    <mergeCell ref="J65:K65"/>
    <mergeCell ref="L65:O65"/>
    <mergeCell ref="H63:I63"/>
    <mergeCell ref="J63:K63"/>
    <mergeCell ref="L63:O63"/>
    <mergeCell ref="H64:I64"/>
    <mergeCell ref="J64:K64"/>
    <mergeCell ref="L64:O64"/>
    <mergeCell ref="H65:I65"/>
    <mergeCell ref="C60:E60"/>
    <mergeCell ref="C61:E61"/>
    <mergeCell ref="C62:E62"/>
    <mergeCell ref="C63:E63"/>
    <mergeCell ref="C64:E64"/>
    <mergeCell ref="C65:E65"/>
    <mergeCell ref="C66:E66"/>
    <mergeCell ref="C74:E74"/>
    <mergeCell ref="C75:E75"/>
    <mergeCell ref="C76:E76"/>
    <mergeCell ref="C77:E77"/>
    <mergeCell ref="C78:E78"/>
    <mergeCell ref="C79:E79"/>
    <mergeCell ref="C67:E67"/>
    <mergeCell ref="C68:E68"/>
    <mergeCell ref="C69:E69"/>
    <mergeCell ref="C70:E70"/>
    <mergeCell ref="C71:E71"/>
    <mergeCell ref="C72:E72"/>
    <mergeCell ref="C73:E73"/>
    <mergeCell ref="J68:K68"/>
    <mergeCell ref="L68:O68"/>
    <mergeCell ref="H66:I66"/>
    <mergeCell ref="J66:K66"/>
    <mergeCell ref="L66:O66"/>
    <mergeCell ref="H67:I67"/>
    <mergeCell ref="J67:K67"/>
    <mergeCell ref="L67:O67"/>
    <mergeCell ref="H68:I68"/>
    <mergeCell ref="J71:K71"/>
    <mergeCell ref="L71:O71"/>
    <mergeCell ref="H69:I69"/>
    <mergeCell ref="J69:K69"/>
    <mergeCell ref="L69:O69"/>
    <mergeCell ref="H70:I70"/>
    <mergeCell ref="J70:K70"/>
    <mergeCell ref="L70:O70"/>
    <mergeCell ref="H71:I71"/>
    <mergeCell ref="J74:K74"/>
    <mergeCell ref="L74:O74"/>
    <mergeCell ref="H72:I72"/>
    <mergeCell ref="J72:K72"/>
    <mergeCell ref="L72:O72"/>
    <mergeCell ref="H73:I73"/>
    <mergeCell ref="J73:K73"/>
    <mergeCell ref="L73:O73"/>
    <mergeCell ref="H74:I74"/>
    <mergeCell ref="J77:K77"/>
    <mergeCell ref="L77:O77"/>
    <mergeCell ref="H79:I79"/>
    <mergeCell ref="J79:K79"/>
    <mergeCell ref="L79:O79"/>
    <mergeCell ref="H75:I75"/>
    <mergeCell ref="J75:K75"/>
    <mergeCell ref="L75:O75"/>
    <mergeCell ref="H76:I76"/>
    <mergeCell ref="J76:K76"/>
    <mergeCell ref="L76:O76"/>
    <mergeCell ref="H77:I77"/>
  </mergeCells>
  <conditionalFormatting sqref="B10:O79">
    <cfRule type="expression" dxfId="0" priority="1">
      <formula>$B10 = TRUE</formula>
    </cfRule>
  </conditionalFormatting>
  <conditionalFormatting sqref="F9:F79">
    <cfRule type="expression" dxfId="1" priority="2">
      <formula>AND(ISNUMBER(F9),TRUNC(F9)&lt;TODAY())</formula>
    </cfRule>
  </conditionalFormatting>
  <conditionalFormatting sqref="I4">
    <cfRule type="cellIs" dxfId="2" priority="3" operator="greaterThan">
      <formula>0</formula>
    </cfRule>
  </conditionalFormatting>
  <conditionalFormatting sqref="F10:F79">
    <cfRule type="timePeriod" dxfId="3" priority="4" timePeriod="today"/>
  </conditionalFormatting>
  <conditionalFormatting sqref="F4">
    <cfRule type="cellIs" dxfId="3" priority="5" operator="greaterThan">
      <formula>0</formula>
    </cfRule>
  </conditionalFormatting>
  <dataValidations>
    <dataValidation type="list" allowBlank="1" showErrorMessage="1" sqref="J10:J79">
      <formula1>'პარამეტრები'!$B$8:$B$16</formula1>
    </dataValidation>
    <dataValidation type="list" allowBlank="1" showErrorMessage="1" sqref="G10:G79">
      <formula1>'პარამეტრები'!$D$8:$E$16</formula1>
    </dataValidation>
    <dataValidation type="list" allowBlank="1" showErrorMessage="1" sqref="H10:H79">
      <formula1>'პარამეტრები'!$G$8:$H$16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13"/>
    <col customWidth="1" min="3" max="5" width="12.63"/>
    <col customWidth="1" min="7" max="7" width="17.5"/>
    <col customWidth="1" min="8" max="8" width="4.13"/>
    <col customWidth="1" min="9" max="9" width="11.13"/>
    <col customWidth="1" min="10" max="10" width="5.63"/>
    <col customWidth="1" min="11" max="11" width="14.38"/>
    <col customWidth="1" min="12" max="12" width="7.5"/>
    <col customWidth="1" min="13" max="13" width="8.63"/>
    <col customWidth="1" min="14" max="14" width="12.63"/>
    <col customWidth="1" min="16" max="16" width="4.13"/>
  </cols>
  <sheetData>
    <row r="2">
      <c r="B2" s="58"/>
      <c r="C2" s="59"/>
      <c r="D2" s="60" t="s">
        <v>33</v>
      </c>
      <c r="E2" s="20"/>
      <c r="F2" s="60"/>
      <c r="G2" s="59"/>
      <c r="H2" s="59"/>
      <c r="I2" s="59"/>
      <c r="J2" s="59"/>
      <c r="K2" s="59"/>
      <c r="L2" s="59"/>
      <c r="M2" s="59"/>
      <c r="N2" s="59"/>
      <c r="O2" s="61"/>
    </row>
    <row r="3">
      <c r="B3" s="62"/>
      <c r="C3" s="63" t="s">
        <v>34</v>
      </c>
      <c r="F3" s="63" t="s">
        <v>35</v>
      </c>
      <c r="G3" s="64" t="s">
        <v>36</v>
      </c>
      <c r="H3" s="65"/>
      <c r="I3" s="64" t="s">
        <v>37</v>
      </c>
      <c r="K3" s="66"/>
      <c r="L3" s="63" t="s">
        <v>38</v>
      </c>
      <c r="M3" s="66"/>
      <c r="N3" s="63" t="s">
        <v>39</v>
      </c>
      <c r="O3" s="67"/>
    </row>
    <row r="4">
      <c r="B4" s="62"/>
      <c r="C4" s="68">
        <f>TODAY()</f>
        <v>46180</v>
      </c>
      <c r="F4" s="69">
        <f>COUNTIFS(F10:F79,"="&amp;TODAY(),B10:B79,FALSE,C10:C79,"&lt;&gt;")</f>
        <v>0</v>
      </c>
      <c r="G4" s="65">
        <f>COUNTA(C10:C79)</f>
        <v>0</v>
      </c>
      <c r="H4" s="65"/>
      <c r="I4" s="70">
        <f>COUNTIFS(F10:F79,"&lt;"&amp;TODAY(),B10:B79,FALSE,C10:C79,"&lt;&gt;")</f>
        <v>0</v>
      </c>
      <c r="K4" s="66"/>
      <c r="L4" s="65">
        <f>G4-N4</f>
        <v>0</v>
      </c>
      <c r="M4" s="66"/>
      <c r="N4" s="65">
        <f>COUNTIFS(B10:B79,TRUE,C10:C79,"&lt;&gt;")</f>
        <v>0</v>
      </c>
      <c r="O4" s="67"/>
    </row>
    <row r="5">
      <c r="B5" s="71"/>
      <c r="C5" s="32"/>
      <c r="D5" s="32"/>
      <c r="E5" s="32"/>
      <c r="F5" s="72"/>
      <c r="G5" s="72"/>
      <c r="H5" s="73"/>
      <c r="I5" s="73"/>
      <c r="J5" s="73"/>
      <c r="K5" s="73"/>
      <c r="L5" s="73"/>
      <c r="M5" s="73"/>
      <c r="N5" s="73"/>
      <c r="O5" s="74"/>
    </row>
    <row r="7">
      <c r="B7" s="36">
        <f>IFERROR(N4/G4,0)</f>
        <v>0</v>
      </c>
      <c r="C7" s="37"/>
      <c r="D7" s="38" t="str">
        <f>IFERROR(__xludf.DUMMYFUNCTION("SPARKLINE(B7, {""charttype"",""bar"";""max"",1;""color1"",""#90EE90""})"),"")</f>
        <v/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37"/>
      <c r="R7" s="39"/>
      <c r="T7" s="39"/>
    </row>
    <row r="8">
      <c r="B8" s="40"/>
      <c r="C8" s="41"/>
      <c r="D8" s="40"/>
      <c r="E8" s="32"/>
      <c r="F8" s="32"/>
      <c r="G8" s="32"/>
      <c r="H8" s="32"/>
      <c r="I8" s="32"/>
      <c r="J8" s="32"/>
      <c r="K8" s="32"/>
      <c r="L8" s="32"/>
      <c r="M8" s="32"/>
      <c r="N8" s="32"/>
      <c r="O8" s="41"/>
      <c r="R8" s="39"/>
      <c r="T8" s="39"/>
    </row>
    <row r="9">
      <c r="B9" s="42" t="s">
        <v>40</v>
      </c>
      <c r="C9" s="20"/>
      <c r="D9" s="20"/>
      <c r="E9" s="37"/>
      <c r="F9" s="43" t="s">
        <v>41</v>
      </c>
      <c r="G9" s="43" t="s">
        <v>42</v>
      </c>
      <c r="H9" s="44" t="s">
        <v>15</v>
      </c>
      <c r="I9" s="45"/>
      <c r="J9" s="44" t="s">
        <v>43</v>
      </c>
      <c r="K9" s="45"/>
      <c r="L9" s="44" t="s">
        <v>44</v>
      </c>
      <c r="M9" s="46"/>
      <c r="N9" s="46"/>
      <c r="O9" s="45"/>
      <c r="R9" s="47"/>
    </row>
    <row r="10">
      <c r="B10" s="48" t="b">
        <v>0</v>
      </c>
      <c r="C10" s="49"/>
      <c r="D10" s="46"/>
      <c r="E10" s="45"/>
      <c r="F10" s="50"/>
      <c r="G10" s="51"/>
      <c r="H10" s="52"/>
      <c r="I10" s="41"/>
      <c r="J10" s="53"/>
      <c r="K10" s="41"/>
      <c r="L10" s="48"/>
      <c r="M10" s="46"/>
      <c r="N10" s="46"/>
      <c r="O10" s="45"/>
    </row>
    <row r="11">
      <c r="B11" s="48" t="b">
        <v>0</v>
      </c>
      <c r="C11" s="49"/>
      <c r="D11" s="46"/>
      <c r="E11" s="45"/>
      <c r="F11" s="50"/>
      <c r="G11" s="51"/>
      <c r="H11" s="53"/>
      <c r="I11" s="41"/>
      <c r="J11" s="53"/>
      <c r="K11" s="41"/>
      <c r="L11" s="48"/>
      <c r="M11" s="46"/>
      <c r="N11" s="46"/>
      <c r="O11" s="45"/>
    </row>
    <row r="12">
      <c r="B12" s="48" t="b">
        <v>0</v>
      </c>
      <c r="C12" s="49"/>
      <c r="D12" s="46"/>
      <c r="E12" s="45"/>
      <c r="F12" s="50"/>
      <c r="G12" s="51"/>
      <c r="H12" s="52"/>
      <c r="I12" s="41"/>
      <c r="J12" s="53"/>
      <c r="K12" s="41"/>
      <c r="L12" s="48"/>
      <c r="M12" s="46"/>
      <c r="N12" s="46"/>
      <c r="O12" s="45"/>
    </row>
    <row r="13">
      <c r="B13" s="48" t="b">
        <v>0</v>
      </c>
      <c r="C13" s="49"/>
      <c r="D13" s="46"/>
      <c r="E13" s="45"/>
      <c r="F13" s="50"/>
      <c r="G13" s="51"/>
      <c r="H13" s="52"/>
      <c r="I13" s="41"/>
      <c r="J13" s="52"/>
      <c r="K13" s="41"/>
      <c r="L13" s="48"/>
      <c r="M13" s="46"/>
      <c r="N13" s="46"/>
      <c r="O13" s="45"/>
    </row>
    <row r="14">
      <c r="B14" s="48" t="b">
        <v>0</v>
      </c>
      <c r="C14" s="49"/>
      <c r="D14" s="46"/>
      <c r="E14" s="45"/>
      <c r="F14" s="50"/>
      <c r="G14" s="51"/>
      <c r="H14" s="52"/>
      <c r="I14" s="41"/>
      <c r="J14" s="52"/>
      <c r="K14" s="41"/>
      <c r="L14" s="48"/>
      <c r="M14" s="46"/>
      <c r="N14" s="46"/>
      <c r="O14" s="45"/>
    </row>
    <row r="15">
      <c r="B15" s="48" t="b">
        <v>0</v>
      </c>
      <c r="C15" s="49"/>
      <c r="D15" s="46"/>
      <c r="E15" s="45"/>
      <c r="F15" s="50"/>
      <c r="G15" s="51"/>
      <c r="H15" s="52"/>
      <c r="I15" s="41"/>
      <c r="J15" s="52"/>
      <c r="K15" s="41"/>
      <c r="L15" s="48"/>
      <c r="M15" s="46"/>
      <c r="N15" s="46"/>
      <c r="O15" s="45"/>
    </row>
    <row r="16">
      <c r="B16" s="48" t="b">
        <v>0</v>
      </c>
      <c r="C16" s="49"/>
      <c r="D16" s="46"/>
      <c r="E16" s="45"/>
      <c r="F16" s="50"/>
      <c r="G16" s="51"/>
      <c r="H16" s="52"/>
      <c r="I16" s="41"/>
      <c r="J16" s="52"/>
      <c r="K16" s="41"/>
      <c r="L16" s="48"/>
      <c r="M16" s="46"/>
      <c r="N16" s="46"/>
      <c r="O16" s="45"/>
    </row>
    <row r="17">
      <c r="B17" s="48" t="b">
        <v>0</v>
      </c>
      <c r="C17" s="49"/>
      <c r="D17" s="46"/>
      <c r="E17" s="45"/>
      <c r="F17" s="50"/>
      <c r="G17" s="51"/>
      <c r="H17" s="52"/>
      <c r="I17" s="41"/>
      <c r="J17" s="52"/>
      <c r="K17" s="41"/>
      <c r="L17" s="48"/>
      <c r="M17" s="46"/>
      <c r="N17" s="46"/>
      <c r="O17" s="45"/>
    </row>
    <row r="18">
      <c r="B18" s="48" t="b">
        <v>0</v>
      </c>
      <c r="C18" s="49"/>
      <c r="D18" s="46"/>
      <c r="E18" s="45"/>
      <c r="F18" s="50"/>
      <c r="G18" s="51"/>
      <c r="H18" s="52"/>
      <c r="I18" s="41"/>
      <c r="J18" s="52"/>
      <c r="K18" s="41"/>
      <c r="L18" s="48"/>
      <c r="M18" s="46"/>
      <c r="N18" s="46"/>
      <c r="O18" s="45"/>
    </row>
    <row r="19">
      <c r="B19" s="48" t="b">
        <v>0</v>
      </c>
      <c r="C19" s="49"/>
      <c r="D19" s="46"/>
      <c r="E19" s="45"/>
      <c r="F19" s="50"/>
      <c r="G19" s="51"/>
      <c r="H19" s="52"/>
      <c r="I19" s="41"/>
      <c r="J19" s="52"/>
      <c r="K19" s="41"/>
      <c r="L19" s="48"/>
      <c r="M19" s="46"/>
      <c r="N19" s="46"/>
      <c r="O19" s="45"/>
    </row>
    <row r="20">
      <c r="B20" s="48" t="b">
        <v>0</v>
      </c>
      <c r="C20" s="49"/>
      <c r="D20" s="46"/>
      <c r="E20" s="45"/>
      <c r="F20" s="50"/>
      <c r="G20" s="51"/>
      <c r="H20" s="52"/>
      <c r="I20" s="41"/>
      <c r="J20" s="52"/>
      <c r="K20" s="41"/>
      <c r="L20" s="48"/>
      <c r="M20" s="46"/>
      <c r="N20" s="46"/>
      <c r="O20" s="45"/>
    </row>
    <row r="21">
      <c r="B21" s="48" t="b">
        <v>0</v>
      </c>
      <c r="C21" s="49"/>
      <c r="D21" s="46"/>
      <c r="E21" s="45"/>
      <c r="F21" s="50"/>
      <c r="G21" s="51"/>
      <c r="H21" s="52"/>
      <c r="I21" s="41"/>
      <c r="J21" s="52"/>
      <c r="K21" s="41"/>
      <c r="L21" s="48"/>
      <c r="M21" s="46"/>
      <c r="N21" s="46"/>
      <c r="O21" s="45"/>
    </row>
    <row r="22">
      <c r="B22" s="48" t="b">
        <v>0</v>
      </c>
      <c r="C22" s="49"/>
      <c r="D22" s="46"/>
      <c r="E22" s="45"/>
      <c r="F22" s="50"/>
      <c r="G22" s="51"/>
      <c r="H22" s="52"/>
      <c r="I22" s="41"/>
      <c r="J22" s="52"/>
      <c r="K22" s="41"/>
      <c r="L22" s="48"/>
      <c r="M22" s="46"/>
      <c r="N22" s="46"/>
      <c r="O22" s="45"/>
    </row>
    <row r="23">
      <c r="B23" s="48" t="b">
        <v>0</v>
      </c>
      <c r="C23" s="49"/>
      <c r="D23" s="46"/>
      <c r="E23" s="45"/>
      <c r="F23" s="54"/>
      <c r="G23" s="51"/>
      <c r="H23" s="52"/>
      <c r="I23" s="41"/>
      <c r="J23" s="52"/>
      <c r="K23" s="41"/>
      <c r="L23" s="48"/>
      <c r="M23" s="46"/>
      <c r="N23" s="46"/>
      <c r="O23" s="45"/>
    </row>
    <row r="24">
      <c r="B24" s="48" t="b">
        <v>0</v>
      </c>
      <c r="C24" s="49"/>
      <c r="D24" s="46"/>
      <c r="E24" s="45"/>
      <c r="F24" s="55"/>
      <c r="G24" s="55"/>
      <c r="H24" s="52"/>
      <c r="I24" s="41"/>
      <c r="J24" s="52"/>
      <c r="K24" s="41"/>
      <c r="L24" s="48"/>
      <c r="M24" s="46"/>
      <c r="N24" s="46"/>
      <c r="O24" s="45"/>
    </row>
    <row r="25">
      <c r="B25" s="48" t="b">
        <v>0</v>
      </c>
      <c r="C25" s="49"/>
      <c r="D25" s="46"/>
      <c r="E25" s="45"/>
      <c r="F25" s="55"/>
      <c r="G25" s="55"/>
      <c r="H25" s="52"/>
      <c r="I25" s="41"/>
      <c r="J25" s="52"/>
      <c r="K25" s="41"/>
      <c r="L25" s="48"/>
      <c r="M25" s="46"/>
      <c r="N25" s="46"/>
      <c r="O25" s="45"/>
    </row>
    <row r="26">
      <c r="B26" s="48" t="b">
        <v>0</v>
      </c>
      <c r="C26" s="49"/>
      <c r="D26" s="46"/>
      <c r="E26" s="45"/>
      <c r="F26" s="55"/>
      <c r="G26" s="55"/>
      <c r="H26" s="52"/>
      <c r="I26" s="41"/>
      <c r="J26" s="52"/>
      <c r="K26" s="41"/>
      <c r="L26" s="48"/>
      <c r="M26" s="46"/>
      <c r="N26" s="46"/>
      <c r="O26" s="45"/>
    </row>
    <row r="27">
      <c r="B27" s="48" t="b">
        <v>0</v>
      </c>
      <c r="C27" s="49"/>
      <c r="D27" s="46"/>
      <c r="E27" s="45"/>
      <c r="F27" s="55"/>
      <c r="G27" s="55"/>
      <c r="H27" s="52"/>
      <c r="I27" s="41"/>
      <c r="J27" s="52"/>
      <c r="K27" s="41"/>
      <c r="L27" s="48"/>
      <c r="M27" s="46"/>
      <c r="N27" s="46"/>
      <c r="O27" s="45"/>
    </row>
    <row r="28">
      <c r="B28" s="48" t="b">
        <v>0</v>
      </c>
      <c r="C28" s="49"/>
      <c r="D28" s="46"/>
      <c r="E28" s="45"/>
      <c r="F28" s="55"/>
      <c r="G28" s="55"/>
      <c r="H28" s="52"/>
      <c r="I28" s="41"/>
      <c r="J28" s="52"/>
      <c r="K28" s="41"/>
      <c r="L28" s="48"/>
      <c r="M28" s="46"/>
      <c r="N28" s="46"/>
      <c r="O28" s="45"/>
    </row>
    <row r="29">
      <c r="B29" s="48" t="b">
        <v>0</v>
      </c>
      <c r="C29" s="49"/>
      <c r="D29" s="46"/>
      <c r="E29" s="45"/>
      <c r="F29" s="55"/>
      <c r="G29" s="55"/>
      <c r="H29" s="52"/>
      <c r="I29" s="41"/>
      <c r="J29" s="52"/>
      <c r="K29" s="41"/>
      <c r="L29" s="48"/>
      <c r="M29" s="46"/>
      <c r="N29" s="46"/>
      <c r="O29" s="45"/>
    </row>
    <row r="30">
      <c r="B30" s="48" t="b">
        <v>0</v>
      </c>
      <c r="C30" s="49"/>
      <c r="D30" s="46"/>
      <c r="E30" s="45"/>
      <c r="F30" s="55"/>
      <c r="G30" s="55"/>
      <c r="H30" s="52"/>
      <c r="I30" s="41"/>
      <c r="J30" s="52"/>
      <c r="K30" s="41"/>
      <c r="L30" s="48"/>
      <c r="M30" s="46"/>
      <c r="N30" s="46"/>
      <c r="O30" s="45"/>
    </row>
    <row r="31">
      <c r="B31" s="48" t="b">
        <v>0</v>
      </c>
      <c r="C31" s="49"/>
      <c r="D31" s="46"/>
      <c r="E31" s="45"/>
      <c r="F31" s="55"/>
      <c r="G31" s="55"/>
      <c r="H31" s="52"/>
      <c r="I31" s="41"/>
      <c r="J31" s="52"/>
      <c r="K31" s="41"/>
      <c r="L31" s="48"/>
      <c r="M31" s="46"/>
      <c r="N31" s="46"/>
      <c r="O31" s="45"/>
    </row>
    <row r="32">
      <c r="B32" s="48" t="b">
        <v>0</v>
      </c>
      <c r="C32" s="49"/>
      <c r="D32" s="46"/>
      <c r="E32" s="45"/>
      <c r="F32" s="55"/>
      <c r="G32" s="55"/>
      <c r="H32" s="52"/>
      <c r="I32" s="41"/>
      <c r="J32" s="52"/>
      <c r="K32" s="41"/>
      <c r="L32" s="48"/>
      <c r="M32" s="46"/>
      <c r="N32" s="46"/>
      <c r="O32" s="45"/>
    </row>
    <row r="33">
      <c r="B33" s="48" t="b">
        <v>0</v>
      </c>
      <c r="C33" s="49"/>
      <c r="D33" s="46"/>
      <c r="E33" s="45"/>
      <c r="F33" s="55"/>
      <c r="G33" s="55"/>
      <c r="H33" s="52"/>
      <c r="I33" s="41"/>
      <c r="J33" s="52"/>
      <c r="K33" s="41"/>
      <c r="L33" s="56"/>
      <c r="M33" s="46"/>
      <c r="N33" s="46"/>
      <c r="O33" s="45"/>
    </row>
    <row r="34">
      <c r="B34" s="48" t="b">
        <v>0</v>
      </c>
      <c r="C34" s="49"/>
      <c r="D34" s="46"/>
      <c r="E34" s="45"/>
      <c r="F34" s="55"/>
      <c r="G34" s="55"/>
      <c r="H34" s="52"/>
      <c r="I34" s="41"/>
      <c r="J34" s="52"/>
      <c r="K34" s="41"/>
      <c r="L34" s="48"/>
      <c r="M34" s="46"/>
      <c r="N34" s="46"/>
      <c r="O34" s="45"/>
    </row>
    <row r="35">
      <c r="B35" s="48" t="b">
        <v>0</v>
      </c>
      <c r="C35" s="49"/>
      <c r="D35" s="46"/>
      <c r="E35" s="45"/>
      <c r="F35" s="57"/>
      <c r="G35" s="57"/>
      <c r="H35" s="48"/>
      <c r="I35" s="45"/>
      <c r="J35" s="48"/>
      <c r="K35" s="45"/>
      <c r="L35" s="48"/>
      <c r="M35" s="46"/>
      <c r="N35" s="46"/>
      <c r="O35" s="45"/>
    </row>
    <row r="36">
      <c r="B36" s="48" t="b">
        <v>0</v>
      </c>
      <c r="C36" s="49"/>
      <c r="D36" s="46"/>
      <c r="E36" s="45"/>
      <c r="F36" s="57"/>
      <c r="G36" s="57"/>
      <c r="H36" s="48"/>
      <c r="I36" s="45"/>
      <c r="J36" s="48"/>
      <c r="K36" s="45"/>
      <c r="L36" s="48"/>
      <c r="M36" s="46"/>
      <c r="N36" s="46"/>
      <c r="O36" s="45"/>
    </row>
    <row r="37">
      <c r="B37" s="48" t="b">
        <v>0</v>
      </c>
      <c r="C37" s="49"/>
      <c r="D37" s="46"/>
      <c r="E37" s="45"/>
      <c r="F37" s="57"/>
      <c r="G37" s="57"/>
      <c r="H37" s="48"/>
      <c r="I37" s="45"/>
      <c r="J37" s="48"/>
      <c r="K37" s="45"/>
      <c r="L37" s="48"/>
      <c r="M37" s="46"/>
      <c r="N37" s="46"/>
      <c r="O37" s="45"/>
    </row>
    <row r="38">
      <c r="B38" s="48" t="b">
        <v>0</v>
      </c>
      <c r="C38" s="49"/>
      <c r="D38" s="46"/>
      <c r="E38" s="45"/>
      <c r="F38" s="57"/>
      <c r="G38" s="57"/>
      <c r="H38" s="48"/>
      <c r="I38" s="45"/>
      <c r="J38" s="48"/>
      <c r="K38" s="45"/>
      <c r="L38" s="48"/>
      <c r="M38" s="46"/>
      <c r="N38" s="46"/>
      <c r="O38" s="45"/>
    </row>
    <row r="39">
      <c r="B39" s="48" t="b">
        <v>0</v>
      </c>
      <c r="C39" s="49"/>
      <c r="D39" s="46"/>
      <c r="E39" s="45"/>
      <c r="F39" s="57"/>
      <c r="G39" s="57"/>
      <c r="H39" s="48"/>
      <c r="I39" s="45"/>
      <c r="J39" s="48"/>
      <c r="K39" s="45"/>
      <c r="L39" s="48"/>
      <c r="M39" s="46"/>
      <c r="N39" s="46"/>
      <c r="O39" s="45"/>
    </row>
    <row r="40">
      <c r="B40" s="48" t="b">
        <v>0</v>
      </c>
      <c r="C40" s="49"/>
      <c r="D40" s="46"/>
      <c r="E40" s="45"/>
      <c r="F40" s="57"/>
      <c r="G40" s="57"/>
      <c r="H40" s="48"/>
      <c r="I40" s="45"/>
      <c r="J40" s="48"/>
      <c r="K40" s="45"/>
      <c r="L40" s="48"/>
      <c r="M40" s="46"/>
      <c r="N40" s="46"/>
      <c r="O40" s="45"/>
    </row>
    <row r="41">
      <c r="B41" s="48" t="b">
        <v>0</v>
      </c>
      <c r="C41" s="49"/>
      <c r="D41" s="46"/>
      <c r="E41" s="45"/>
      <c r="F41" s="57"/>
      <c r="G41" s="57"/>
      <c r="H41" s="48"/>
      <c r="I41" s="45"/>
      <c r="J41" s="48"/>
      <c r="K41" s="45"/>
      <c r="L41" s="48"/>
      <c r="M41" s="46"/>
      <c r="N41" s="46"/>
      <c r="O41" s="45"/>
    </row>
    <row r="42">
      <c r="B42" s="48" t="b">
        <v>0</v>
      </c>
      <c r="C42" s="49"/>
      <c r="D42" s="46"/>
      <c r="E42" s="45"/>
      <c r="F42" s="57"/>
      <c r="G42" s="57"/>
      <c r="H42" s="48"/>
      <c r="I42" s="45"/>
      <c r="J42" s="48"/>
      <c r="K42" s="45"/>
      <c r="L42" s="48"/>
      <c r="M42" s="46"/>
      <c r="N42" s="46"/>
      <c r="O42" s="45"/>
    </row>
    <row r="43">
      <c r="B43" s="48" t="b">
        <v>0</v>
      </c>
      <c r="C43" s="49"/>
      <c r="D43" s="46"/>
      <c r="E43" s="45"/>
      <c r="F43" s="57"/>
      <c r="G43" s="57"/>
      <c r="H43" s="48"/>
      <c r="I43" s="45"/>
      <c r="J43" s="48"/>
      <c r="K43" s="45"/>
      <c r="L43" s="48"/>
      <c r="M43" s="46"/>
      <c r="N43" s="46"/>
      <c r="O43" s="45"/>
    </row>
    <row r="44">
      <c r="B44" s="48" t="b">
        <v>0</v>
      </c>
      <c r="C44" s="49"/>
      <c r="D44" s="46"/>
      <c r="E44" s="45"/>
      <c r="F44" s="57"/>
      <c r="G44" s="57"/>
      <c r="H44" s="48"/>
      <c r="I44" s="45"/>
      <c r="J44" s="48"/>
      <c r="K44" s="45"/>
      <c r="L44" s="48"/>
      <c r="M44" s="46"/>
      <c r="N44" s="46"/>
      <c r="O44" s="45"/>
    </row>
    <row r="45">
      <c r="B45" s="48" t="b">
        <v>0</v>
      </c>
      <c r="C45" s="49"/>
      <c r="D45" s="46"/>
      <c r="E45" s="45"/>
      <c r="F45" s="57"/>
      <c r="G45" s="57"/>
      <c r="H45" s="48"/>
      <c r="I45" s="45"/>
      <c r="J45" s="48"/>
      <c r="K45" s="45"/>
      <c r="L45" s="48"/>
      <c r="M45" s="46"/>
      <c r="N45" s="46"/>
      <c r="O45" s="45"/>
    </row>
    <row r="46">
      <c r="B46" s="48" t="b">
        <v>0</v>
      </c>
      <c r="C46" s="49"/>
      <c r="D46" s="46"/>
      <c r="E46" s="45"/>
      <c r="F46" s="57"/>
      <c r="G46" s="57"/>
      <c r="H46" s="48"/>
      <c r="I46" s="45"/>
      <c r="J46" s="48"/>
      <c r="K46" s="45"/>
      <c r="L46" s="48"/>
      <c r="M46" s="46"/>
      <c r="N46" s="46"/>
      <c r="O46" s="45"/>
    </row>
    <row r="47">
      <c r="B47" s="48" t="b">
        <v>0</v>
      </c>
      <c r="C47" s="49"/>
      <c r="D47" s="46"/>
      <c r="E47" s="45"/>
      <c r="F47" s="57"/>
      <c r="G47" s="57"/>
      <c r="H47" s="48"/>
      <c r="I47" s="45"/>
      <c r="J47" s="48"/>
      <c r="K47" s="45"/>
      <c r="L47" s="48"/>
      <c r="M47" s="46"/>
      <c r="N47" s="46"/>
      <c r="O47" s="45"/>
    </row>
    <row r="48">
      <c r="B48" s="48" t="b">
        <v>0</v>
      </c>
      <c r="C48" s="49"/>
      <c r="D48" s="46"/>
      <c r="E48" s="45"/>
      <c r="F48" s="57"/>
      <c r="G48" s="57"/>
      <c r="H48" s="48"/>
      <c r="I48" s="45"/>
      <c r="J48" s="48"/>
      <c r="K48" s="45"/>
      <c r="L48" s="48"/>
      <c r="M48" s="46"/>
      <c r="N48" s="46"/>
      <c r="O48" s="45"/>
    </row>
    <row r="49">
      <c r="B49" s="48" t="b">
        <v>0</v>
      </c>
      <c r="C49" s="49"/>
      <c r="D49" s="46"/>
      <c r="E49" s="45"/>
      <c r="F49" s="57"/>
      <c r="G49" s="57"/>
      <c r="H49" s="48"/>
      <c r="I49" s="45"/>
      <c r="J49" s="48"/>
      <c r="K49" s="45"/>
      <c r="L49" s="48"/>
      <c r="M49" s="46"/>
      <c r="N49" s="46"/>
      <c r="O49" s="45"/>
    </row>
    <row r="50">
      <c r="B50" s="48" t="b">
        <v>0</v>
      </c>
      <c r="C50" s="49"/>
      <c r="D50" s="46"/>
      <c r="E50" s="45"/>
      <c r="F50" s="57"/>
      <c r="G50" s="57"/>
      <c r="H50" s="48"/>
      <c r="I50" s="45"/>
      <c r="J50" s="48"/>
      <c r="K50" s="45"/>
      <c r="L50" s="48"/>
      <c r="M50" s="46"/>
      <c r="N50" s="46"/>
      <c r="O50" s="45"/>
    </row>
    <row r="51">
      <c r="B51" s="48" t="b">
        <v>0</v>
      </c>
      <c r="C51" s="49"/>
      <c r="D51" s="46"/>
      <c r="E51" s="45"/>
      <c r="F51" s="57"/>
      <c r="G51" s="57"/>
      <c r="H51" s="48"/>
      <c r="I51" s="45"/>
      <c r="J51" s="48"/>
      <c r="K51" s="45"/>
      <c r="L51" s="48"/>
      <c r="M51" s="46"/>
      <c r="N51" s="46"/>
      <c r="O51" s="45"/>
    </row>
    <row r="52">
      <c r="B52" s="48" t="b">
        <v>0</v>
      </c>
      <c r="C52" s="49"/>
      <c r="D52" s="46"/>
      <c r="E52" s="45"/>
      <c r="F52" s="57"/>
      <c r="G52" s="57"/>
      <c r="H52" s="48"/>
      <c r="I52" s="45"/>
      <c r="J52" s="48"/>
      <c r="K52" s="45"/>
      <c r="L52" s="48"/>
      <c r="M52" s="46"/>
      <c r="N52" s="46"/>
      <c r="O52" s="45"/>
    </row>
    <row r="53">
      <c r="B53" s="48" t="b">
        <v>0</v>
      </c>
      <c r="C53" s="49"/>
      <c r="D53" s="46"/>
      <c r="E53" s="45"/>
      <c r="F53" s="57"/>
      <c r="G53" s="57"/>
      <c r="H53" s="48"/>
      <c r="I53" s="45"/>
      <c r="J53" s="48"/>
      <c r="K53" s="45"/>
      <c r="L53" s="48"/>
      <c r="M53" s="46"/>
      <c r="N53" s="46"/>
      <c r="O53" s="45"/>
    </row>
    <row r="54">
      <c r="B54" s="48" t="b">
        <v>0</v>
      </c>
      <c r="C54" s="49"/>
      <c r="D54" s="46"/>
      <c r="E54" s="45"/>
      <c r="F54" s="57"/>
      <c r="G54" s="57"/>
      <c r="H54" s="48"/>
      <c r="I54" s="45"/>
      <c r="J54" s="48"/>
      <c r="K54" s="45"/>
      <c r="L54" s="48"/>
      <c r="M54" s="46"/>
      <c r="N54" s="46"/>
      <c r="O54" s="45"/>
    </row>
    <row r="55">
      <c r="B55" s="48" t="b">
        <v>0</v>
      </c>
      <c r="C55" s="49"/>
      <c r="D55" s="46"/>
      <c r="E55" s="45"/>
      <c r="F55" s="57"/>
      <c r="G55" s="57"/>
      <c r="H55" s="48"/>
      <c r="I55" s="45"/>
      <c r="J55" s="48"/>
      <c r="K55" s="45"/>
      <c r="L55" s="48"/>
      <c r="M55" s="46"/>
      <c r="N55" s="46"/>
      <c r="O55" s="45"/>
    </row>
    <row r="56">
      <c r="B56" s="48" t="b">
        <v>0</v>
      </c>
      <c r="C56" s="49"/>
      <c r="D56" s="46"/>
      <c r="E56" s="45"/>
      <c r="F56" s="57"/>
      <c r="G56" s="57"/>
      <c r="H56" s="48"/>
      <c r="I56" s="45"/>
      <c r="J56" s="48"/>
      <c r="K56" s="45"/>
      <c r="L56" s="48"/>
      <c r="M56" s="46"/>
      <c r="N56" s="46"/>
      <c r="O56" s="45"/>
    </row>
    <row r="57">
      <c r="B57" s="48" t="b">
        <v>0</v>
      </c>
      <c r="C57" s="49"/>
      <c r="D57" s="46"/>
      <c r="E57" s="45"/>
      <c r="F57" s="57"/>
      <c r="G57" s="57"/>
      <c r="H57" s="48"/>
      <c r="I57" s="45"/>
      <c r="J57" s="48"/>
      <c r="K57" s="45"/>
      <c r="L57" s="48"/>
      <c r="M57" s="46"/>
      <c r="N57" s="46"/>
      <c r="O57" s="45"/>
    </row>
    <row r="58">
      <c r="B58" s="48" t="b">
        <v>0</v>
      </c>
      <c r="C58" s="49"/>
      <c r="D58" s="46"/>
      <c r="E58" s="45"/>
      <c r="F58" s="57"/>
      <c r="G58" s="57"/>
      <c r="H58" s="48"/>
      <c r="I58" s="45"/>
      <c r="J58" s="48"/>
      <c r="K58" s="45"/>
      <c r="L58" s="48"/>
      <c r="M58" s="46"/>
      <c r="N58" s="46"/>
      <c r="O58" s="45"/>
    </row>
    <row r="59">
      <c r="B59" s="48" t="b">
        <v>0</v>
      </c>
      <c r="C59" s="49"/>
      <c r="D59" s="46"/>
      <c r="E59" s="45"/>
      <c r="F59" s="57"/>
      <c r="G59" s="57"/>
      <c r="H59" s="48"/>
      <c r="I59" s="45"/>
      <c r="J59" s="48"/>
      <c r="K59" s="45"/>
      <c r="L59" s="48"/>
      <c r="M59" s="46"/>
      <c r="N59" s="46"/>
      <c r="O59" s="45"/>
    </row>
    <row r="60">
      <c r="B60" s="48" t="b">
        <v>0</v>
      </c>
      <c r="C60" s="49"/>
      <c r="D60" s="46"/>
      <c r="E60" s="45"/>
      <c r="F60" s="57"/>
      <c r="G60" s="57"/>
      <c r="H60" s="48"/>
      <c r="I60" s="45"/>
      <c r="J60" s="48"/>
      <c r="K60" s="45"/>
      <c r="L60" s="48"/>
      <c r="M60" s="46"/>
      <c r="N60" s="46"/>
      <c r="O60" s="45"/>
    </row>
    <row r="61">
      <c r="B61" s="48" t="b">
        <v>0</v>
      </c>
      <c r="C61" s="49"/>
      <c r="D61" s="46"/>
      <c r="E61" s="45"/>
      <c r="F61" s="57"/>
      <c r="G61" s="57"/>
      <c r="H61" s="48"/>
      <c r="I61" s="45"/>
      <c r="J61" s="48"/>
      <c r="K61" s="45"/>
      <c r="L61" s="48"/>
      <c r="M61" s="46"/>
      <c r="N61" s="46"/>
      <c r="O61" s="45"/>
    </row>
    <row r="62">
      <c r="B62" s="48" t="b">
        <v>0</v>
      </c>
      <c r="C62" s="49"/>
      <c r="D62" s="46"/>
      <c r="E62" s="45"/>
      <c r="F62" s="57"/>
      <c r="G62" s="57"/>
      <c r="H62" s="48"/>
      <c r="I62" s="45"/>
      <c r="J62" s="48"/>
      <c r="K62" s="45"/>
      <c r="L62" s="48"/>
      <c r="M62" s="46"/>
      <c r="N62" s="46"/>
      <c r="O62" s="45"/>
    </row>
    <row r="63">
      <c r="B63" s="48" t="b">
        <v>0</v>
      </c>
      <c r="C63" s="49"/>
      <c r="D63" s="46"/>
      <c r="E63" s="45"/>
      <c r="F63" s="57"/>
      <c r="G63" s="57"/>
      <c r="H63" s="48"/>
      <c r="I63" s="45"/>
      <c r="J63" s="48"/>
      <c r="K63" s="45"/>
      <c r="L63" s="48"/>
      <c r="M63" s="46"/>
      <c r="N63" s="46"/>
      <c r="O63" s="45"/>
    </row>
    <row r="64">
      <c r="B64" s="48" t="b">
        <v>0</v>
      </c>
      <c r="C64" s="49"/>
      <c r="D64" s="46"/>
      <c r="E64" s="45"/>
      <c r="F64" s="57"/>
      <c r="G64" s="57"/>
      <c r="H64" s="48"/>
      <c r="I64" s="45"/>
      <c r="J64" s="48"/>
      <c r="K64" s="45"/>
      <c r="L64" s="48"/>
      <c r="M64" s="46"/>
      <c r="N64" s="46"/>
      <c r="O64" s="45"/>
    </row>
    <row r="65">
      <c r="B65" s="48" t="b">
        <v>0</v>
      </c>
      <c r="C65" s="49"/>
      <c r="D65" s="46"/>
      <c r="E65" s="45"/>
      <c r="F65" s="57"/>
      <c r="G65" s="57"/>
      <c r="H65" s="48"/>
      <c r="I65" s="45"/>
      <c r="J65" s="48"/>
      <c r="K65" s="45"/>
      <c r="L65" s="48"/>
      <c r="M65" s="46"/>
      <c r="N65" s="46"/>
      <c r="O65" s="45"/>
    </row>
    <row r="66">
      <c r="B66" s="48" t="b">
        <v>0</v>
      </c>
      <c r="C66" s="49"/>
      <c r="D66" s="46"/>
      <c r="E66" s="45"/>
      <c r="F66" s="57"/>
      <c r="G66" s="57"/>
      <c r="H66" s="48"/>
      <c r="I66" s="45"/>
      <c r="J66" s="48"/>
      <c r="K66" s="45"/>
      <c r="L66" s="48"/>
      <c r="M66" s="46"/>
      <c r="N66" s="46"/>
      <c r="O66" s="45"/>
    </row>
    <row r="67">
      <c r="B67" s="48" t="b">
        <v>0</v>
      </c>
      <c r="C67" s="49"/>
      <c r="D67" s="46"/>
      <c r="E67" s="45"/>
      <c r="F67" s="57"/>
      <c r="G67" s="57"/>
      <c r="H67" s="48"/>
      <c r="I67" s="45"/>
      <c r="J67" s="48"/>
      <c r="K67" s="45"/>
      <c r="L67" s="48"/>
      <c r="M67" s="46"/>
      <c r="N67" s="46"/>
      <c r="O67" s="45"/>
    </row>
    <row r="68">
      <c r="B68" s="48" t="b">
        <v>0</v>
      </c>
      <c r="C68" s="49"/>
      <c r="D68" s="46"/>
      <c r="E68" s="45"/>
      <c r="F68" s="57"/>
      <c r="G68" s="57"/>
      <c r="H68" s="48"/>
      <c r="I68" s="45"/>
      <c r="J68" s="48"/>
      <c r="K68" s="45"/>
      <c r="L68" s="48"/>
      <c r="M68" s="46"/>
      <c r="N68" s="46"/>
      <c r="O68" s="45"/>
    </row>
    <row r="69">
      <c r="B69" s="48" t="b">
        <v>0</v>
      </c>
      <c r="C69" s="49"/>
      <c r="D69" s="46"/>
      <c r="E69" s="45"/>
      <c r="F69" s="57"/>
      <c r="G69" s="57"/>
      <c r="H69" s="48"/>
      <c r="I69" s="45"/>
      <c r="J69" s="48"/>
      <c r="K69" s="45"/>
      <c r="L69" s="48"/>
      <c r="M69" s="46"/>
      <c r="N69" s="46"/>
      <c r="O69" s="45"/>
    </row>
    <row r="70">
      <c r="B70" s="48" t="b">
        <v>0</v>
      </c>
      <c r="C70" s="49"/>
      <c r="D70" s="46"/>
      <c r="E70" s="45"/>
      <c r="F70" s="57"/>
      <c r="G70" s="57"/>
      <c r="H70" s="48"/>
      <c r="I70" s="45"/>
      <c r="J70" s="48"/>
      <c r="K70" s="45"/>
      <c r="L70" s="48"/>
      <c r="M70" s="46"/>
      <c r="N70" s="46"/>
      <c r="O70" s="45"/>
    </row>
    <row r="71">
      <c r="B71" s="48" t="b">
        <v>0</v>
      </c>
      <c r="C71" s="49"/>
      <c r="D71" s="46"/>
      <c r="E71" s="45"/>
      <c r="F71" s="57"/>
      <c r="G71" s="57"/>
      <c r="H71" s="48"/>
      <c r="I71" s="45"/>
      <c r="J71" s="48"/>
      <c r="K71" s="45"/>
      <c r="L71" s="48"/>
      <c r="M71" s="46"/>
      <c r="N71" s="46"/>
      <c r="O71" s="45"/>
    </row>
    <row r="72">
      <c r="B72" s="48" t="b">
        <v>0</v>
      </c>
      <c r="C72" s="49"/>
      <c r="D72" s="46"/>
      <c r="E72" s="45"/>
      <c r="F72" s="57"/>
      <c r="G72" s="57"/>
      <c r="H72" s="48"/>
      <c r="I72" s="45"/>
      <c r="J72" s="48"/>
      <c r="K72" s="45"/>
      <c r="L72" s="48"/>
      <c r="M72" s="46"/>
      <c r="N72" s="46"/>
      <c r="O72" s="45"/>
    </row>
    <row r="73">
      <c r="B73" s="48" t="b">
        <v>0</v>
      </c>
      <c r="C73" s="49"/>
      <c r="D73" s="46"/>
      <c r="E73" s="45"/>
      <c r="F73" s="57"/>
      <c r="G73" s="57"/>
      <c r="H73" s="48"/>
      <c r="I73" s="45"/>
      <c r="J73" s="48"/>
      <c r="K73" s="45"/>
      <c r="L73" s="48"/>
      <c r="M73" s="46"/>
      <c r="N73" s="46"/>
      <c r="O73" s="45"/>
    </row>
    <row r="74">
      <c r="B74" s="48" t="b">
        <v>0</v>
      </c>
      <c r="C74" s="49"/>
      <c r="D74" s="46"/>
      <c r="E74" s="45"/>
      <c r="F74" s="57"/>
      <c r="G74" s="57"/>
      <c r="H74" s="48"/>
      <c r="I74" s="45"/>
      <c r="J74" s="48"/>
      <c r="K74" s="45"/>
      <c r="L74" s="48"/>
      <c r="M74" s="46"/>
      <c r="N74" s="46"/>
      <c r="O74" s="45"/>
    </row>
    <row r="75">
      <c r="B75" s="48" t="b">
        <v>0</v>
      </c>
      <c r="C75" s="49"/>
      <c r="D75" s="46"/>
      <c r="E75" s="45"/>
      <c r="F75" s="57"/>
      <c r="G75" s="57"/>
      <c r="H75" s="48"/>
      <c r="I75" s="45"/>
      <c r="J75" s="48"/>
      <c r="K75" s="45"/>
      <c r="L75" s="48"/>
      <c r="M75" s="46"/>
      <c r="N75" s="46"/>
      <c r="O75" s="45"/>
    </row>
    <row r="76">
      <c r="B76" s="48" t="b">
        <v>0</v>
      </c>
      <c r="C76" s="49"/>
      <c r="D76" s="46"/>
      <c r="E76" s="45"/>
      <c r="F76" s="57"/>
      <c r="G76" s="57"/>
      <c r="H76" s="48"/>
      <c r="I76" s="45"/>
      <c r="J76" s="48"/>
      <c r="K76" s="45"/>
      <c r="L76" s="48"/>
      <c r="M76" s="46"/>
      <c r="N76" s="46"/>
      <c r="O76" s="45"/>
    </row>
    <row r="77">
      <c r="B77" s="48" t="b">
        <v>0</v>
      </c>
      <c r="C77" s="49"/>
      <c r="D77" s="46"/>
      <c r="E77" s="45"/>
      <c r="F77" s="57"/>
      <c r="G77" s="57"/>
      <c r="H77" s="48"/>
      <c r="I77" s="45"/>
      <c r="J77" s="48"/>
      <c r="K77" s="45"/>
      <c r="L77" s="48"/>
      <c r="M77" s="46"/>
      <c r="N77" s="46"/>
      <c r="O77" s="45"/>
    </row>
    <row r="78">
      <c r="B78" s="48" t="b">
        <v>0</v>
      </c>
      <c r="C78" s="49"/>
      <c r="D78" s="46"/>
      <c r="E78" s="45"/>
      <c r="F78" s="57"/>
      <c r="G78" s="57"/>
      <c r="H78" s="48"/>
      <c r="I78" s="45"/>
      <c r="J78" s="48"/>
      <c r="K78" s="45"/>
      <c r="L78" s="48"/>
      <c r="M78" s="46"/>
      <c r="N78" s="46"/>
      <c r="O78" s="45"/>
    </row>
    <row r="79">
      <c r="B79" s="48" t="b">
        <v>0</v>
      </c>
      <c r="C79" s="49"/>
      <c r="D79" s="46"/>
      <c r="E79" s="45"/>
      <c r="F79" s="57"/>
      <c r="G79" s="57"/>
      <c r="H79" s="48"/>
      <c r="I79" s="45"/>
      <c r="J79" s="48"/>
      <c r="K79" s="45"/>
      <c r="L79" s="48"/>
      <c r="M79" s="46"/>
      <c r="N79" s="46"/>
      <c r="O79" s="45"/>
    </row>
  </sheetData>
  <customSheetViews>
    <customSheetView guid="{1866274F-8CAD-4BFD-8599-BA9FD7FBA376}" filter="1" showAutoFilter="1">
      <autoFilter ref="$B$9:$O$79">
        <sortState ref="B9:O79">
          <sortCondition ref="F9:F79"/>
        </sortState>
      </autoFilter>
    </customSheetView>
    <customSheetView guid="{77955C4A-3814-41F3-BBB5-0D153A35ABDC}" filter="1" showAutoFilter="1">
      <autoFilter ref="$B$9:$O$79">
        <filterColumn colId="0">
          <filters>
            <filter val="FALSE"/>
          </filters>
        </filterColumn>
        <filterColumn colId="4">
          <filters/>
        </filterColumn>
      </autoFilter>
    </customSheetView>
    <customSheetView guid="{51B225B4-9D56-4685-B6CC-63F308A21EDE}" filter="1" showAutoFilter="1">
      <autoFilter ref="$B$9:$O$79">
        <filterColumn colId="0">
          <filters>
            <filter val="FALSE"/>
          </filters>
        </filterColumn>
        <filterColumn colId="4">
          <filters/>
        </filterColumn>
      </autoFilter>
    </customSheetView>
  </customSheetViews>
  <mergeCells count="290">
    <mergeCell ref="C16:E16"/>
    <mergeCell ref="C17:E17"/>
    <mergeCell ref="H17:I17"/>
    <mergeCell ref="J17:K17"/>
    <mergeCell ref="L17:O17"/>
    <mergeCell ref="J18:K18"/>
    <mergeCell ref="L18:O18"/>
    <mergeCell ref="H18:I18"/>
    <mergeCell ref="H19:I19"/>
    <mergeCell ref="J19:K19"/>
    <mergeCell ref="L19:O19"/>
    <mergeCell ref="H20:I20"/>
    <mergeCell ref="J20:K20"/>
    <mergeCell ref="L20:O20"/>
    <mergeCell ref="J23:K23"/>
    <mergeCell ref="L23:O23"/>
    <mergeCell ref="H21:I21"/>
    <mergeCell ref="J21:K21"/>
    <mergeCell ref="L21:O21"/>
    <mergeCell ref="H22:I22"/>
    <mergeCell ref="J22:K22"/>
    <mergeCell ref="L22:O22"/>
    <mergeCell ref="H23:I23"/>
    <mergeCell ref="J26:K26"/>
    <mergeCell ref="L26:O26"/>
    <mergeCell ref="H24:I24"/>
    <mergeCell ref="J24:K24"/>
    <mergeCell ref="L24:O24"/>
    <mergeCell ref="H25:I25"/>
    <mergeCell ref="J25:K25"/>
    <mergeCell ref="L25:O25"/>
    <mergeCell ref="H26:I26"/>
    <mergeCell ref="J29:K29"/>
    <mergeCell ref="L29:O29"/>
    <mergeCell ref="H27:I27"/>
    <mergeCell ref="J27:K27"/>
    <mergeCell ref="L27:O27"/>
    <mergeCell ref="H28:I28"/>
    <mergeCell ref="J28:K28"/>
    <mergeCell ref="L28:O28"/>
    <mergeCell ref="H29:I29"/>
    <mergeCell ref="J32:K32"/>
    <mergeCell ref="L32:O32"/>
    <mergeCell ref="H30:I30"/>
    <mergeCell ref="J30:K30"/>
    <mergeCell ref="L30:O30"/>
    <mergeCell ref="H31:I31"/>
    <mergeCell ref="J31:K31"/>
    <mergeCell ref="L31:O31"/>
    <mergeCell ref="H32:I32"/>
    <mergeCell ref="J35:K35"/>
    <mergeCell ref="L35:O35"/>
    <mergeCell ref="H33:I33"/>
    <mergeCell ref="J33:K33"/>
    <mergeCell ref="L33:O33"/>
    <mergeCell ref="H34:I34"/>
    <mergeCell ref="J34:K34"/>
    <mergeCell ref="L34:O34"/>
    <mergeCell ref="H35:I35"/>
    <mergeCell ref="J38:K38"/>
    <mergeCell ref="L38:O38"/>
    <mergeCell ref="H36:I36"/>
    <mergeCell ref="J36:K36"/>
    <mergeCell ref="L36:O36"/>
    <mergeCell ref="H37:I37"/>
    <mergeCell ref="J37:K37"/>
    <mergeCell ref="L37:O37"/>
    <mergeCell ref="H38:I38"/>
    <mergeCell ref="J41:K41"/>
    <mergeCell ref="L41:O41"/>
    <mergeCell ref="H39:I39"/>
    <mergeCell ref="J39:K39"/>
    <mergeCell ref="L39:O39"/>
    <mergeCell ref="H40:I40"/>
    <mergeCell ref="J40:K40"/>
    <mergeCell ref="L40:O40"/>
    <mergeCell ref="H41:I41"/>
    <mergeCell ref="J44:K44"/>
    <mergeCell ref="L44:O44"/>
    <mergeCell ref="H42:I42"/>
    <mergeCell ref="J42:K42"/>
    <mergeCell ref="L42:O42"/>
    <mergeCell ref="H43:I43"/>
    <mergeCell ref="J43:K43"/>
    <mergeCell ref="L43:O43"/>
    <mergeCell ref="H44:I44"/>
    <mergeCell ref="J47:K47"/>
    <mergeCell ref="L47:O47"/>
    <mergeCell ref="H45:I45"/>
    <mergeCell ref="J45:K45"/>
    <mergeCell ref="L45:O45"/>
    <mergeCell ref="H46:I46"/>
    <mergeCell ref="J46:K46"/>
    <mergeCell ref="L46:O46"/>
    <mergeCell ref="H47:I47"/>
    <mergeCell ref="J50:K50"/>
    <mergeCell ref="L50:O50"/>
    <mergeCell ref="H48:I48"/>
    <mergeCell ref="J48:K48"/>
    <mergeCell ref="L48:O48"/>
    <mergeCell ref="H49:I49"/>
    <mergeCell ref="J49:K49"/>
    <mergeCell ref="L49:O49"/>
    <mergeCell ref="H50:I50"/>
    <mergeCell ref="J53:K53"/>
    <mergeCell ref="L53:O53"/>
    <mergeCell ref="H51:I51"/>
    <mergeCell ref="J51:K51"/>
    <mergeCell ref="L51:O51"/>
    <mergeCell ref="H52:I52"/>
    <mergeCell ref="J52:K52"/>
    <mergeCell ref="L52:O52"/>
    <mergeCell ref="H53:I53"/>
    <mergeCell ref="J56:K56"/>
    <mergeCell ref="L56:O56"/>
    <mergeCell ref="H54:I54"/>
    <mergeCell ref="J54:K54"/>
    <mergeCell ref="L54:O54"/>
    <mergeCell ref="H55:I55"/>
    <mergeCell ref="J55:K55"/>
    <mergeCell ref="L55:O55"/>
    <mergeCell ref="H56:I56"/>
    <mergeCell ref="J59:K59"/>
    <mergeCell ref="L59:O59"/>
    <mergeCell ref="H57:I57"/>
    <mergeCell ref="J57:K57"/>
    <mergeCell ref="L57:O57"/>
    <mergeCell ref="H58:I58"/>
    <mergeCell ref="J58:K58"/>
    <mergeCell ref="L58:O58"/>
    <mergeCell ref="H59:I59"/>
    <mergeCell ref="B9:E9"/>
    <mergeCell ref="C10:E10"/>
    <mergeCell ref="C11:E11"/>
    <mergeCell ref="C12:E12"/>
    <mergeCell ref="C13:E13"/>
    <mergeCell ref="C14:E14"/>
    <mergeCell ref="C15:E15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D2:E5"/>
    <mergeCell ref="I3:J3"/>
    <mergeCell ref="C4:C5"/>
    <mergeCell ref="I4:J4"/>
    <mergeCell ref="B7:C8"/>
    <mergeCell ref="D7:O8"/>
    <mergeCell ref="L9:O9"/>
    <mergeCell ref="L12:O12"/>
    <mergeCell ref="L13:O13"/>
    <mergeCell ref="L14:O14"/>
    <mergeCell ref="H9:I9"/>
    <mergeCell ref="J9:K9"/>
    <mergeCell ref="H10:I10"/>
    <mergeCell ref="J10:K10"/>
    <mergeCell ref="L10:O10"/>
    <mergeCell ref="J11:K11"/>
    <mergeCell ref="L11:O11"/>
    <mergeCell ref="H15:I15"/>
    <mergeCell ref="J15:K15"/>
    <mergeCell ref="L15:O15"/>
    <mergeCell ref="H16:I16"/>
    <mergeCell ref="J16:K16"/>
    <mergeCell ref="L16:O16"/>
    <mergeCell ref="H11:I11"/>
    <mergeCell ref="H12:I12"/>
    <mergeCell ref="J12:K12"/>
    <mergeCell ref="H13:I13"/>
    <mergeCell ref="J13:K13"/>
    <mergeCell ref="H14:I14"/>
    <mergeCell ref="J14:K14"/>
    <mergeCell ref="H78:I78"/>
    <mergeCell ref="J78:K78"/>
    <mergeCell ref="L78:O78"/>
    <mergeCell ref="J62:K62"/>
    <mergeCell ref="L62:O62"/>
    <mergeCell ref="H60:I60"/>
    <mergeCell ref="J60:K60"/>
    <mergeCell ref="L60:O60"/>
    <mergeCell ref="H61:I61"/>
    <mergeCell ref="J61:K61"/>
    <mergeCell ref="L61:O61"/>
    <mergeCell ref="H62:I62"/>
    <mergeCell ref="J65:K65"/>
    <mergeCell ref="L65:O65"/>
    <mergeCell ref="H63:I63"/>
    <mergeCell ref="J63:K63"/>
    <mergeCell ref="L63:O63"/>
    <mergeCell ref="H64:I64"/>
    <mergeCell ref="J64:K64"/>
    <mergeCell ref="L64:O64"/>
    <mergeCell ref="H65:I65"/>
    <mergeCell ref="C60:E60"/>
    <mergeCell ref="C61:E61"/>
    <mergeCell ref="C62:E62"/>
    <mergeCell ref="C63:E63"/>
    <mergeCell ref="C64:E64"/>
    <mergeCell ref="C65:E65"/>
    <mergeCell ref="C66:E66"/>
    <mergeCell ref="C74:E74"/>
    <mergeCell ref="C75:E75"/>
    <mergeCell ref="C76:E76"/>
    <mergeCell ref="C77:E77"/>
    <mergeCell ref="C78:E78"/>
    <mergeCell ref="C79:E79"/>
    <mergeCell ref="C67:E67"/>
    <mergeCell ref="C68:E68"/>
    <mergeCell ref="C69:E69"/>
    <mergeCell ref="C70:E70"/>
    <mergeCell ref="C71:E71"/>
    <mergeCell ref="C72:E72"/>
    <mergeCell ref="C73:E73"/>
    <mergeCell ref="J68:K68"/>
    <mergeCell ref="L68:O68"/>
    <mergeCell ref="H66:I66"/>
    <mergeCell ref="J66:K66"/>
    <mergeCell ref="L66:O66"/>
    <mergeCell ref="H67:I67"/>
    <mergeCell ref="J67:K67"/>
    <mergeCell ref="L67:O67"/>
    <mergeCell ref="H68:I68"/>
    <mergeCell ref="J71:K71"/>
    <mergeCell ref="L71:O71"/>
    <mergeCell ref="H69:I69"/>
    <mergeCell ref="J69:K69"/>
    <mergeCell ref="L69:O69"/>
    <mergeCell ref="H70:I70"/>
    <mergeCell ref="J70:K70"/>
    <mergeCell ref="L70:O70"/>
    <mergeCell ref="H71:I71"/>
    <mergeCell ref="J74:K74"/>
    <mergeCell ref="L74:O74"/>
    <mergeCell ref="H72:I72"/>
    <mergeCell ref="J72:K72"/>
    <mergeCell ref="L72:O72"/>
    <mergeCell ref="H73:I73"/>
    <mergeCell ref="J73:K73"/>
    <mergeCell ref="L73:O73"/>
    <mergeCell ref="H74:I74"/>
    <mergeCell ref="J77:K77"/>
    <mergeCell ref="L77:O77"/>
    <mergeCell ref="H79:I79"/>
    <mergeCell ref="J79:K79"/>
    <mergeCell ref="L79:O79"/>
    <mergeCell ref="H75:I75"/>
    <mergeCell ref="J75:K75"/>
    <mergeCell ref="L75:O75"/>
    <mergeCell ref="H76:I76"/>
    <mergeCell ref="J76:K76"/>
    <mergeCell ref="L76:O76"/>
    <mergeCell ref="H77:I77"/>
  </mergeCells>
  <conditionalFormatting sqref="B10:O79">
    <cfRule type="expression" dxfId="0" priority="1">
      <formula>$B10 = TRUE</formula>
    </cfRule>
  </conditionalFormatting>
  <conditionalFormatting sqref="F9:F79">
    <cfRule type="expression" dxfId="1" priority="2">
      <formula>AND(ISNUMBER(F9),TRUNC(F9)&lt;TODAY())</formula>
    </cfRule>
  </conditionalFormatting>
  <conditionalFormatting sqref="I4">
    <cfRule type="cellIs" dxfId="2" priority="3" operator="greaterThan">
      <formula>0</formula>
    </cfRule>
  </conditionalFormatting>
  <conditionalFormatting sqref="F10:F79">
    <cfRule type="timePeriod" dxfId="3" priority="4" timePeriod="today"/>
  </conditionalFormatting>
  <conditionalFormatting sqref="F4">
    <cfRule type="cellIs" dxfId="3" priority="5" operator="greaterThan">
      <formula>0</formula>
    </cfRule>
  </conditionalFormatting>
  <dataValidations>
    <dataValidation type="list" allowBlank="1" showErrorMessage="1" sqref="J10:J79">
      <formula1>'პარამეტრები'!$B$8:$B$16</formula1>
    </dataValidation>
    <dataValidation type="list" allowBlank="1" showErrorMessage="1" sqref="G10:G79">
      <formula1>'პარამეტრები'!$D$8:$E$16</formula1>
    </dataValidation>
    <dataValidation type="list" allowBlank="1" showErrorMessage="1" sqref="H10:H79">
      <formula1>'პარამეტრები'!$G$8:$H$16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4" width="12.63"/>
    <col customWidth="1" min="5" max="5" width="16.0"/>
    <col customWidth="1" min="6" max="6" width="4.13"/>
    <col customWidth="1" min="7" max="10" width="12.63"/>
    <col customWidth="1" min="11" max="11" width="4.13"/>
    <col customWidth="1" min="12" max="15" width="12.63"/>
    <col customWidth="1" min="16" max="16" width="3.88"/>
    <col customWidth="1" hidden="1" min="17" max="21" width="12.63"/>
    <col hidden="1" min="22" max="36" width="12.63"/>
  </cols>
  <sheetData>
    <row r="2">
      <c r="B2" s="17"/>
      <c r="C2" s="19" t="s">
        <v>58</v>
      </c>
      <c r="D2" s="20"/>
      <c r="E2" s="19"/>
      <c r="F2" s="18"/>
      <c r="G2" s="18"/>
      <c r="H2" s="18"/>
      <c r="I2" s="18"/>
      <c r="J2" s="18"/>
      <c r="K2" s="18"/>
      <c r="L2" s="18"/>
      <c r="M2" s="18"/>
      <c r="N2" s="18"/>
      <c r="O2" s="21"/>
    </row>
    <row r="3">
      <c r="B3" s="75" t="s">
        <v>34</v>
      </c>
      <c r="E3" s="76" t="s">
        <v>36</v>
      </c>
      <c r="F3" s="26"/>
      <c r="G3" s="76" t="s">
        <v>37</v>
      </c>
      <c r="I3" s="76" t="s">
        <v>38</v>
      </c>
      <c r="K3" s="26"/>
      <c r="L3" s="76" t="s">
        <v>39</v>
      </c>
      <c r="M3" s="77" t="s">
        <v>35</v>
      </c>
      <c r="O3" s="27"/>
      <c r="AB3" s="78"/>
      <c r="AC3" s="78"/>
      <c r="AD3" s="78"/>
      <c r="AE3" s="79" t="s">
        <v>59</v>
      </c>
      <c r="AG3" s="78" t="s">
        <v>60</v>
      </c>
      <c r="AI3" s="78" t="s">
        <v>61</v>
      </c>
      <c r="AJ3" s="78"/>
    </row>
    <row r="4">
      <c r="B4" s="80">
        <f>TODAY()</f>
        <v>46180</v>
      </c>
      <c r="E4" s="25">
        <f>COUNTA('დავალებები'!C10:C79)</f>
        <v>0</v>
      </c>
      <c r="F4" s="26"/>
      <c r="G4" s="30">
        <f>COUNTIFS('დავალებები'!F10:F79,"&lt;"&amp;TODAY(),'დავალებები'!B10:B79,FALSE,'დავალებები'!C10:C79,"&lt;&gt;")</f>
        <v>0</v>
      </c>
      <c r="I4" s="25">
        <f>E4-L4</f>
        <v>0</v>
      </c>
      <c r="K4" s="26"/>
      <c r="L4" s="25">
        <f>COUNTIFS('დავალებები'!B10:B79,TRUE,'დავალებები'!C10:C79,"&lt;&gt;")</f>
        <v>0</v>
      </c>
      <c r="M4" s="81">
        <f>COUNTIF('დავალებები'!F10:F79, "=" &amp; TODAY())</f>
        <v>0</v>
      </c>
      <c r="O4" s="27"/>
      <c r="AB4" s="82"/>
      <c r="AC4" s="82"/>
      <c r="AD4" s="82"/>
      <c r="AE4" s="83" t="str">
        <f>'პარამეტრები'!D8</f>
        <v>🔴 მაღალი</v>
      </c>
      <c r="AF4" s="84">
        <f>COUNTIFS('დავალებები'!$G$10:$G$79, AE4, 'დავალებები'!$B$10:$B$79, "&lt;&gt;TRUE")</f>
        <v>0</v>
      </c>
      <c r="AG4" s="82" t="str">
        <f>'პარამეტრები'!G8</f>
        <v>✅ შესრულებული</v>
      </c>
      <c r="AH4" s="84">
        <f>COUNTIFS('დავალებები'!$H$10:$H$79, AG4, 'დავალებები'!$B$10:$B$79, "&lt;&gt;TRUE")</f>
        <v>0</v>
      </c>
      <c r="AI4" s="82" t="str">
        <f>'პარამეტრები'!B8</f>
        <v>ჯანმრთელობა 💪🏻</v>
      </c>
      <c r="AJ4" s="82">
        <f>COUNTIFS('დავალებები'!$J$10:$J$79, AI4, 'დავალებები'!$B$10:$B$79, "&lt;&gt;TRUE")</f>
        <v>0</v>
      </c>
    </row>
    <row r="5">
      <c r="B5" s="40"/>
      <c r="C5" s="32"/>
      <c r="D5" s="32"/>
      <c r="E5" s="33"/>
      <c r="F5" s="85"/>
      <c r="G5" s="33"/>
      <c r="H5" s="34"/>
      <c r="I5" s="34"/>
      <c r="J5" s="34"/>
      <c r="K5" s="34"/>
      <c r="L5" s="34"/>
      <c r="M5" s="34"/>
      <c r="N5" s="34"/>
      <c r="O5" s="35"/>
      <c r="AB5" s="82"/>
      <c r="AC5" s="82"/>
      <c r="AD5" s="82"/>
      <c r="AE5" s="83" t="str">
        <f>'პარამეტრები'!D9</f>
        <v>🟡 საშუალო</v>
      </c>
      <c r="AF5" s="84">
        <f>COUNTIFS('დავალებები'!$G$10:$G$79, AE5, 'დავალებები'!$B$10:$B$79, "&lt;&gt;TRUE")</f>
        <v>0</v>
      </c>
      <c r="AG5" s="82" t="str">
        <f>'პარამეტრები'!G9</f>
        <v>✏️ პროგრესშია</v>
      </c>
      <c r="AH5" s="84">
        <f>COUNTIFS('დავალებები'!$H$10:$H$79, AG5, 'დავალებები'!$B$10:$B$79, "&lt;&gt;TRUE")</f>
        <v>0</v>
      </c>
      <c r="AI5" s="82" t="str">
        <f>'პარამეტრები'!B9</f>
        <v>სამსახური 💼</v>
      </c>
      <c r="AJ5" s="82">
        <f>COUNTIFS('დავალებები'!$J$10:$J$79, AI5, 'დავალებები'!$B$10:$B$79, "&lt;&gt;TRUE")</f>
        <v>0</v>
      </c>
    </row>
    <row r="6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B6" s="82"/>
      <c r="AC6" s="82"/>
      <c r="AD6" s="82"/>
      <c r="AE6" s="83" t="str">
        <f>'პარამეტრები'!D10</f>
        <v>🔵 დაბალი</v>
      </c>
      <c r="AF6" s="84">
        <f>COUNTIFS('დავალებები'!$G$10:$G$79, AE6, 'დავალებები'!$B$10:$B$79, "&lt;&gt;TRUE")</f>
        <v>0</v>
      </c>
      <c r="AG6" s="82" t="str">
        <f>'პარამეტრები'!G10</f>
        <v>⚠️ არ დაგიწყია</v>
      </c>
      <c r="AH6" s="84">
        <f>COUNTIFS('დავალებები'!$H$10:$H$79, AG6, 'დავალებები'!$B$10:$B$79, "&lt;&gt;TRUE")</f>
        <v>0</v>
      </c>
      <c r="AI6" s="82" t="str">
        <f>'პარამეტრები'!B10</f>
        <v>ფული ₿</v>
      </c>
      <c r="AJ6" s="82">
        <f>COUNTIFS('დავალებები'!$J$10:$J$79, AI6, 'დავალებები'!$B$10:$B$79, "&lt;&gt;TRUE")</f>
        <v>0</v>
      </c>
    </row>
    <row r="7">
      <c r="B7" s="86" t="s">
        <v>14</v>
      </c>
      <c r="F7" s="87"/>
      <c r="G7" s="86" t="s">
        <v>15</v>
      </c>
      <c r="K7" s="7"/>
      <c r="L7" s="86" t="s">
        <v>43</v>
      </c>
      <c r="P7" s="47"/>
      <c r="Q7" s="47"/>
      <c r="R7" s="47"/>
      <c r="S7" s="47"/>
      <c r="AB7" s="82"/>
      <c r="AC7" s="82"/>
      <c r="AD7" s="82"/>
      <c r="AE7" s="83" t="str">
        <f>'პარამეტრები'!D11</f>
        <v>⚪️ სურვილისამებრ</v>
      </c>
      <c r="AF7" s="84">
        <f>COUNTIFS('დავალებები'!$G$10:$G$79, AE7, 'დავალებები'!$B$10:$B$79, "&lt;&gt;TRUE")</f>
        <v>0</v>
      </c>
      <c r="AG7" s="82" t="str">
        <f>'პარამეტრები'!G11</f>
        <v>❌ გაუქმდა</v>
      </c>
      <c r="AH7" s="84">
        <f>COUNTIFS('დავალებები'!$H$10:$H$79, AG7, 'დავალებები'!$B$10:$B$79, "&lt;&gt;TRUE")</f>
        <v>0</v>
      </c>
      <c r="AI7" s="82" t="str">
        <f>'პარამეტრები'!B11</f>
        <v>ოჯახი 👨‍👩‍👧‍👦</v>
      </c>
      <c r="AJ7" s="82">
        <f>COUNTIFS('დავალებები'!$J$10:$J$79, AI7, 'დავალებები'!$B$10:$B$79, "&lt;&gt;TRUE")</f>
        <v>0</v>
      </c>
    </row>
    <row r="8">
      <c r="F8" s="87"/>
      <c r="K8" s="7"/>
      <c r="P8" s="47"/>
      <c r="Q8" s="47"/>
      <c r="R8" s="47"/>
      <c r="S8" s="47"/>
      <c r="AB8" s="82"/>
      <c r="AC8" s="82"/>
      <c r="AD8" s="82"/>
      <c r="AE8" s="83" t="str">
        <f>'პარამეტრები'!D12</f>
        <v/>
      </c>
      <c r="AF8" s="84">
        <f>COUNTIFS('დავალებები'!$G$10:$G$79, AE8, 'დავალებები'!$B$10:$B$79, "&lt;&gt;TRUE")</f>
        <v>0</v>
      </c>
      <c r="AG8" s="82" t="str">
        <f>'პარამეტრები'!G12</f>
        <v/>
      </c>
      <c r="AH8" s="84">
        <f>COUNTIFS('დავალებები'!$H$10:$H$79, AG8, 'დავალებები'!$B$10:$B$79, "&lt;&gt;TRUE")</f>
        <v>0</v>
      </c>
      <c r="AI8" s="82" t="str">
        <f>'პარამეტრები'!B12</f>
        <v>პირადი განვითარება 📚</v>
      </c>
      <c r="AJ8" s="82">
        <f>COUNTIFS('დავალებები'!$J$10:$J$79, AI8, 'დავალებები'!$B$10:$B$79, "&lt;&gt;TRUE")</f>
        <v>0</v>
      </c>
    </row>
    <row r="9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AB9" s="82"/>
      <c r="AC9" s="82"/>
      <c r="AD9" s="82"/>
      <c r="AE9" s="83" t="str">
        <f>'პარამეტრები'!D13</f>
        <v/>
      </c>
      <c r="AF9" s="84">
        <f>COUNTIFS('დავალებები'!$G$10:$G$79, AE9, 'დავალებები'!$B$10:$B$79, "&lt;&gt;TRUE")</f>
        <v>0</v>
      </c>
      <c r="AG9" s="82" t="str">
        <f>'პარამეტრები'!G13</f>
        <v/>
      </c>
      <c r="AH9" s="84">
        <f>COUNTIFS('დავალებები'!$H$10:$H$79, AG9, 'დავალებები'!$B$10:$B$79, "&lt;&gt;TRUE")</f>
        <v>0</v>
      </c>
      <c r="AI9" s="82" t="str">
        <f>'პარამეტრები'!B13</f>
        <v>საქმეები 🧹</v>
      </c>
      <c r="AJ9" s="82">
        <f>COUNTIFS('დავალებები'!$J$10:$J$79, AI9, 'დავალებები'!$B$10:$B$79, "&lt;&gt;TRUE")</f>
        <v>0</v>
      </c>
    </row>
    <row r="10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AB10" s="82"/>
      <c r="AC10" s="82"/>
      <c r="AD10" s="82"/>
      <c r="AE10" s="83" t="str">
        <f>'პარამეტრები'!D14</f>
        <v/>
      </c>
      <c r="AF10" s="84">
        <f>COUNTIFS('დავალებები'!$G$10:$G$79, AE10, 'დავალებები'!$B$10:$B$79, "&lt;&gt;TRUE")</f>
        <v>0</v>
      </c>
      <c r="AG10" s="82" t="str">
        <f>'პარამეტრები'!G14</f>
        <v/>
      </c>
      <c r="AH10" s="84">
        <f>COUNTIFS('დავალებები'!$H$10:$H$79, AG10, 'დავალებები'!$B$10:$B$79, "&lt;&gt;TRUE")</f>
        <v>0</v>
      </c>
      <c r="AI10" s="82" t="str">
        <f>'პარამეტრები'!B14</f>
        <v>იდეები 💡</v>
      </c>
      <c r="AJ10" s="82">
        <f>COUNTIFS('დავალებები'!$J$10:$J$79, AI10, 'დავალებები'!$B$10:$B$79, "&lt;&gt;TRUE")</f>
        <v>0</v>
      </c>
    </row>
    <row r="11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AB11" s="82"/>
      <c r="AC11" s="82"/>
      <c r="AD11" s="82"/>
      <c r="AE11" s="83" t="str">
        <f>'პარამეტრები'!D15</f>
        <v/>
      </c>
      <c r="AF11" s="84">
        <f>COUNTIFS('დავალებები'!$G$10:$G$79, AE11, 'დავალებები'!$B$10:$B$79, "&lt;&gt;TRUE")</f>
        <v>0</v>
      </c>
      <c r="AG11" s="82" t="str">
        <f>'პარამეტრები'!G15</f>
        <v/>
      </c>
      <c r="AH11" s="84">
        <f>COUNTIFS('დავალებები'!$H$10:$H$79, AG11, 'დავალებები'!$B$10:$B$79, "&lt;&gt;TRUE")</f>
        <v>0</v>
      </c>
      <c r="AI11" s="82" t="str">
        <f>'პარამეტრები'!B15</f>
        <v>დასვენება 🎮</v>
      </c>
      <c r="AJ11" s="82">
        <f>COUNTIFS('დავალებები'!$J$10:$J$79, AI11, 'დავალებები'!$B$10:$B$79, "&lt;&gt;TRUE")</f>
        <v>0</v>
      </c>
    </row>
    <row r="1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AB12" s="82"/>
      <c r="AC12" s="82"/>
      <c r="AD12" s="82"/>
      <c r="AE12" s="83" t="str">
        <f>'პარამეტრები'!D16</f>
        <v/>
      </c>
      <c r="AF12" s="84">
        <f>COUNTIFS('დავალებები'!$G$10:$G$79, AE12, 'დავალებები'!$B$10:$B$79, "&lt;&gt;TRUE")</f>
        <v>0</v>
      </c>
      <c r="AG12" s="82" t="str">
        <f>'პარამეტრები'!G16</f>
        <v/>
      </c>
      <c r="AH12" s="84">
        <f>COUNTIFS('დავალებები'!$H$10:$H$79, AG12, 'დავალებები'!$B$10:$B$79, "&lt;&gt;TRUE")</f>
        <v>0</v>
      </c>
      <c r="AI12" s="82" t="str">
        <f>'პარამეტრები'!B16</f>
        <v>სულიერება 🧘🏻</v>
      </c>
      <c r="AJ12" s="82">
        <f>COUNTIFS('დავალებები'!$J$10:$J$79, AI12, 'დავალებები'!$B$10:$B$79, "&lt;&gt;TRUE")</f>
        <v>0</v>
      </c>
    </row>
    <row r="1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B22" s="88" t="s">
        <v>62</v>
      </c>
      <c r="C22" s="20"/>
      <c r="D22" s="20"/>
      <c r="E22" s="37"/>
      <c r="F22" s="7"/>
      <c r="G22" s="88" t="s">
        <v>63</v>
      </c>
      <c r="H22" s="20"/>
      <c r="I22" s="20"/>
      <c r="J22" s="37"/>
      <c r="K22" s="7"/>
      <c r="L22" s="88" t="s">
        <v>64</v>
      </c>
      <c r="M22" s="20"/>
      <c r="N22" s="20"/>
      <c r="O22" s="37"/>
    </row>
    <row r="23">
      <c r="B23" s="40"/>
      <c r="C23" s="32"/>
      <c r="D23" s="32"/>
      <c r="E23" s="41"/>
      <c r="F23" s="7"/>
      <c r="G23" s="40"/>
      <c r="H23" s="32"/>
      <c r="I23" s="32"/>
      <c r="J23" s="41"/>
      <c r="K23" s="7"/>
      <c r="L23" s="40"/>
      <c r="M23" s="32"/>
      <c r="N23" s="32"/>
      <c r="O23" s="41"/>
    </row>
    <row r="24">
      <c r="B24" s="89" t="s">
        <v>42</v>
      </c>
      <c r="C24" s="45"/>
      <c r="D24" s="89" t="s">
        <v>17</v>
      </c>
      <c r="E24" s="45"/>
      <c r="F24" s="90"/>
      <c r="G24" s="89" t="s">
        <v>15</v>
      </c>
      <c r="H24" s="45"/>
      <c r="I24" s="89" t="s">
        <v>21</v>
      </c>
      <c r="J24" s="45"/>
      <c r="K24" s="90"/>
      <c r="L24" s="89" t="s">
        <v>43</v>
      </c>
      <c r="M24" s="45"/>
      <c r="N24" s="89" t="s">
        <v>19</v>
      </c>
      <c r="O24" s="45"/>
    </row>
    <row r="25">
      <c r="B25" s="91" t="str">
        <f>IFERROR(__xludf.DUMMYFUNCTION("IFERROR(ARRAY_CONSTRAIN(FILTER('დავალებები'!C10:E79, 'დავალებები'!G10:G79 = D24, 'დავალებები'!B10:B79 &lt;&gt; TRUE), 30, 1), """")"),"")</f>
        <v/>
      </c>
      <c r="C25" s="46"/>
      <c r="D25" s="46"/>
      <c r="E25" s="45"/>
      <c r="F25" s="90"/>
      <c r="G25" s="91" t="str">
        <f>IFERROR(__xludf.DUMMYFUNCTION("IFERROR(ARRAY_CONSTRAIN(FILTER('დავალებები'!C10:E79,'დავალებები'!H10:H79  = I24, 'დავალებები'!B10:B79 &lt;&gt; TRUE), 30, 1), """")"),"")</f>
        <v/>
      </c>
      <c r="H25" s="46"/>
      <c r="I25" s="46"/>
      <c r="J25" s="45"/>
      <c r="K25" s="90"/>
      <c r="L25" s="91" t="str">
        <f>IFERROR(__xludf.DUMMYFUNCTION("IFERROR(ARRAY_CONSTRAIN(FILTER('დავალებები'!C10:E79,'დავალებები'!J10:J79  = N24, 'დავალებები'!B10:B79 &lt;&gt; TRUE), 30, 1), """")"),"")</f>
        <v/>
      </c>
      <c r="M25" s="46"/>
      <c r="N25" s="46"/>
      <c r="O25" s="45"/>
    </row>
    <row r="26">
      <c r="B26" s="91"/>
      <c r="C26" s="46"/>
      <c r="D26" s="46"/>
      <c r="E26" s="45"/>
      <c r="F26" s="90"/>
      <c r="G26" s="91"/>
      <c r="H26" s="46"/>
      <c r="I26" s="46"/>
      <c r="J26" s="45"/>
      <c r="K26" s="90"/>
      <c r="L26" s="91"/>
      <c r="M26" s="46"/>
      <c r="N26" s="46"/>
      <c r="O26" s="45"/>
    </row>
    <row r="27">
      <c r="B27" s="91"/>
      <c r="C27" s="46"/>
      <c r="D27" s="46"/>
      <c r="E27" s="45"/>
      <c r="F27" s="90"/>
      <c r="G27" s="91"/>
      <c r="H27" s="46"/>
      <c r="I27" s="46"/>
      <c r="J27" s="45"/>
      <c r="K27" s="90"/>
      <c r="L27" s="91"/>
      <c r="M27" s="46"/>
      <c r="N27" s="46"/>
      <c r="O27" s="45"/>
    </row>
    <row r="28">
      <c r="B28" s="91"/>
      <c r="C28" s="46"/>
      <c r="D28" s="46"/>
      <c r="E28" s="45"/>
      <c r="F28" s="90"/>
      <c r="G28" s="91"/>
      <c r="H28" s="46"/>
      <c r="I28" s="46"/>
      <c r="J28" s="45"/>
      <c r="K28" s="90"/>
      <c r="L28" s="91"/>
      <c r="M28" s="46"/>
      <c r="N28" s="46"/>
      <c r="O28" s="45"/>
    </row>
    <row r="29">
      <c r="B29" s="91"/>
      <c r="C29" s="46"/>
      <c r="D29" s="46"/>
      <c r="E29" s="45"/>
      <c r="F29" s="90"/>
      <c r="G29" s="91"/>
      <c r="H29" s="46"/>
      <c r="I29" s="46"/>
      <c r="J29" s="45"/>
      <c r="K29" s="90"/>
      <c r="L29" s="91"/>
      <c r="M29" s="46"/>
      <c r="N29" s="46"/>
      <c r="O29" s="45"/>
    </row>
    <row r="30">
      <c r="B30" s="91"/>
      <c r="C30" s="46"/>
      <c r="D30" s="46"/>
      <c r="E30" s="45"/>
      <c r="F30" s="90"/>
      <c r="G30" s="91"/>
      <c r="H30" s="46"/>
      <c r="I30" s="46"/>
      <c r="J30" s="45"/>
      <c r="K30" s="90"/>
      <c r="L30" s="91"/>
      <c r="M30" s="46"/>
      <c r="N30" s="46"/>
      <c r="O30" s="45"/>
    </row>
    <row r="31">
      <c r="B31" s="91"/>
      <c r="C31" s="46"/>
      <c r="D31" s="46"/>
      <c r="E31" s="45"/>
      <c r="F31" s="90"/>
      <c r="G31" s="91"/>
      <c r="H31" s="46"/>
      <c r="I31" s="46"/>
      <c r="J31" s="45"/>
      <c r="K31" s="90"/>
      <c r="L31" s="91"/>
      <c r="M31" s="46"/>
      <c r="N31" s="46"/>
      <c r="O31" s="45"/>
    </row>
    <row r="32">
      <c r="B32" s="91"/>
      <c r="C32" s="46"/>
      <c r="D32" s="46"/>
      <c r="E32" s="45"/>
      <c r="F32" s="90"/>
      <c r="G32" s="91"/>
      <c r="H32" s="46"/>
      <c r="I32" s="46"/>
      <c r="J32" s="45"/>
      <c r="K32" s="90"/>
      <c r="L32" s="91"/>
      <c r="M32" s="46"/>
      <c r="N32" s="46"/>
      <c r="O32" s="45"/>
    </row>
    <row r="33">
      <c r="B33" s="91"/>
      <c r="C33" s="46"/>
      <c r="D33" s="46"/>
      <c r="E33" s="45"/>
      <c r="F33" s="90"/>
      <c r="G33" s="91"/>
      <c r="H33" s="46"/>
      <c r="I33" s="46"/>
      <c r="J33" s="45"/>
      <c r="K33" s="90"/>
      <c r="L33" s="91"/>
      <c r="M33" s="46"/>
      <c r="N33" s="46"/>
      <c r="O33" s="45"/>
    </row>
    <row r="34">
      <c r="B34" s="91"/>
      <c r="C34" s="46"/>
      <c r="D34" s="46"/>
      <c r="E34" s="45"/>
      <c r="F34" s="90"/>
      <c r="G34" s="91"/>
      <c r="H34" s="46"/>
      <c r="I34" s="46"/>
      <c r="J34" s="45"/>
      <c r="K34" s="90"/>
      <c r="L34" s="91"/>
      <c r="M34" s="46"/>
      <c r="N34" s="46"/>
      <c r="O34" s="45"/>
    </row>
    <row r="35">
      <c r="B35" s="92"/>
      <c r="C35" s="46"/>
      <c r="D35" s="46"/>
      <c r="E35" s="45"/>
      <c r="F35" s="90"/>
      <c r="G35" s="91"/>
      <c r="H35" s="46"/>
      <c r="I35" s="46"/>
      <c r="J35" s="45"/>
      <c r="K35" s="90"/>
      <c r="L35" s="91"/>
      <c r="M35" s="46"/>
      <c r="N35" s="46"/>
      <c r="O35" s="45"/>
    </row>
    <row r="36">
      <c r="B36" s="91"/>
      <c r="C36" s="46"/>
      <c r="D36" s="46"/>
      <c r="E36" s="45"/>
      <c r="F36" s="90"/>
      <c r="G36" s="91"/>
      <c r="H36" s="46"/>
      <c r="I36" s="46"/>
      <c r="J36" s="45"/>
      <c r="K36" s="90"/>
      <c r="L36" s="91"/>
      <c r="M36" s="46"/>
      <c r="N36" s="46"/>
      <c r="O36" s="45"/>
    </row>
    <row r="37">
      <c r="B37" s="91"/>
      <c r="C37" s="46"/>
      <c r="D37" s="46"/>
      <c r="E37" s="45"/>
      <c r="F37" s="90"/>
      <c r="G37" s="91"/>
      <c r="H37" s="46"/>
      <c r="I37" s="46"/>
      <c r="J37" s="45"/>
      <c r="K37" s="90"/>
      <c r="L37" s="91"/>
      <c r="M37" s="46"/>
      <c r="N37" s="46"/>
      <c r="O37" s="45"/>
    </row>
    <row r="38">
      <c r="B38" s="91"/>
      <c r="C38" s="46"/>
      <c r="D38" s="46"/>
      <c r="E38" s="45"/>
      <c r="F38" s="90"/>
      <c r="G38" s="91"/>
      <c r="H38" s="46"/>
      <c r="I38" s="46"/>
      <c r="J38" s="45"/>
      <c r="K38" s="90"/>
      <c r="L38" s="91"/>
      <c r="M38" s="46"/>
      <c r="N38" s="46"/>
      <c r="O38" s="45"/>
    </row>
    <row r="39">
      <c r="B39" s="91"/>
      <c r="C39" s="46"/>
      <c r="D39" s="46"/>
      <c r="E39" s="45"/>
      <c r="F39" s="90"/>
      <c r="G39" s="91"/>
      <c r="H39" s="46"/>
      <c r="I39" s="46"/>
      <c r="J39" s="45"/>
      <c r="K39" s="90"/>
      <c r="L39" s="91"/>
      <c r="M39" s="46"/>
      <c r="N39" s="46"/>
      <c r="O39" s="45"/>
    </row>
    <row r="40">
      <c r="B40" s="91"/>
      <c r="C40" s="46"/>
      <c r="D40" s="46"/>
      <c r="E40" s="45"/>
      <c r="F40" s="90"/>
      <c r="G40" s="91"/>
      <c r="H40" s="46"/>
      <c r="I40" s="46"/>
      <c r="J40" s="45"/>
      <c r="K40" s="90"/>
      <c r="L40" s="91"/>
      <c r="M40" s="46"/>
      <c r="N40" s="46"/>
      <c r="O40" s="45"/>
    </row>
    <row r="41">
      <c r="B41" s="91"/>
      <c r="C41" s="46"/>
      <c r="D41" s="46"/>
      <c r="E41" s="45"/>
      <c r="F41" s="90"/>
      <c r="G41" s="91"/>
      <c r="H41" s="46"/>
      <c r="I41" s="46"/>
      <c r="J41" s="45"/>
      <c r="K41" s="90"/>
      <c r="L41" s="91"/>
      <c r="M41" s="46"/>
      <c r="N41" s="46"/>
      <c r="O41" s="45"/>
    </row>
    <row r="42">
      <c r="B42" s="91"/>
      <c r="C42" s="46"/>
      <c r="D42" s="46"/>
      <c r="E42" s="45"/>
      <c r="F42" s="90"/>
      <c r="G42" s="91"/>
      <c r="H42" s="46"/>
      <c r="I42" s="46"/>
      <c r="J42" s="45"/>
      <c r="K42" s="90"/>
      <c r="L42" s="91"/>
      <c r="M42" s="46"/>
      <c r="N42" s="46"/>
      <c r="O42" s="45"/>
    </row>
    <row r="43">
      <c r="B43" s="91"/>
      <c r="C43" s="46"/>
      <c r="D43" s="46"/>
      <c r="E43" s="45"/>
      <c r="F43" s="90"/>
      <c r="G43" s="91"/>
      <c r="H43" s="46"/>
      <c r="I43" s="46"/>
      <c r="J43" s="45"/>
      <c r="K43" s="90"/>
      <c r="L43" s="91"/>
      <c r="M43" s="46"/>
      <c r="N43" s="46"/>
      <c r="O43" s="45"/>
    </row>
    <row r="44">
      <c r="B44" s="91"/>
      <c r="C44" s="46"/>
      <c r="D44" s="46"/>
      <c r="E44" s="45"/>
      <c r="F44" s="90"/>
      <c r="G44" s="91"/>
      <c r="H44" s="46"/>
      <c r="I44" s="46"/>
      <c r="J44" s="45"/>
      <c r="K44" s="90"/>
      <c r="L44" s="91"/>
      <c r="M44" s="46"/>
      <c r="N44" s="46"/>
      <c r="O44" s="45"/>
    </row>
    <row r="45">
      <c r="B45" s="91"/>
      <c r="C45" s="46"/>
      <c r="D45" s="46"/>
      <c r="E45" s="45"/>
      <c r="F45" s="90"/>
      <c r="G45" s="91"/>
      <c r="H45" s="46"/>
      <c r="I45" s="46"/>
      <c r="J45" s="45"/>
      <c r="K45" s="90"/>
      <c r="L45" s="91"/>
      <c r="M45" s="46"/>
      <c r="N45" s="46"/>
      <c r="O45" s="45"/>
    </row>
    <row r="46">
      <c r="B46" s="91"/>
      <c r="C46" s="46"/>
      <c r="D46" s="46"/>
      <c r="E46" s="45"/>
      <c r="F46" s="90"/>
      <c r="G46" s="91"/>
      <c r="H46" s="46"/>
      <c r="I46" s="46"/>
      <c r="J46" s="45"/>
      <c r="K46" s="90"/>
      <c r="L46" s="91"/>
      <c r="M46" s="46"/>
      <c r="N46" s="46"/>
      <c r="O46" s="45"/>
    </row>
    <row r="47">
      <c r="B47" s="91"/>
      <c r="C47" s="46"/>
      <c r="D47" s="46"/>
      <c r="E47" s="45"/>
      <c r="F47" s="90"/>
      <c r="G47" s="91"/>
      <c r="H47" s="46"/>
      <c r="I47" s="46"/>
      <c r="J47" s="45"/>
      <c r="K47" s="90"/>
      <c r="L47" s="91"/>
      <c r="M47" s="46"/>
      <c r="N47" s="46"/>
      <c r="O47" s="45"/>
    </row>
    <row r="48">
      <c r="B48" s="91"/>
      <c r="C48" s="46"/>
      <c r="D48" s="46"/>
      <c r="E48" s="45"/>
      <c r="F48" s="90"/>
      <c r="G48" s="91"/>
      <c r="H48" s="46"/>
      <c r="I48" s="46"/>
      <c r="J48" s="45"/>
      <c r="K48" s="90"/>
      <c r="L48" s="91"/>
      <c r="M48" s="46"/>
      <c r="N48" s="46"/>
      <c r="O48" s="45"/>
    </row>
    <row r="49">
      <c r="B49" s="91"/>
      <c r="C49" s="46"/>
      <c r="D49" s="46"/>
      <c r="E49" s="45"/>
      <c r="F49" s="90"/>
      <c r="G49" s="91"/>
      <c r="H49" s="46"/>
      <c r="I49" s="46"/>
      <c r="J49" s="45"/>
      <c r="K49" s="90"/>
      <c r="L49" s="91"/>
      <c r="M49" s="46"/>
      <c r="N49" s="46"/>
      <c r="O49" s="45"/>
    </row>
    <row r="50">
      <c r="B50" s="91"/>
      <c r="C50" s="46"/>
      <c r="D50" s="46"/>
      <c r="E50" s="45"/>
      <c r="F50" s="90"/>
      <c r="G50" s="91"/>
      <c r="H50" s="46"/>
      <c r="I50" s="46"/>
      <c r="J50" s="45"/>
      <c r="K50" s="90"/>
      <c r="L50" s="91"/>
      <c r="M50" s="46"/>
      <c r="N50" s="46"/>
      <c r="O50" s="45"/>
    </row>
    <row r="51">
      <c r="B51" s="91"/>
      <c r="C51" s="46"/>
      <c r="D51" s="46"/>
      <c r="E51" s="45"/>
      <c r="F51" s="90"/>
      <c r="G51" s="91"/>
      <c r="H51" s="46"/>
      <c r="I51" s="46"/>
      <c r="J51" s="45"/>
      <c r="K51" s="90"/>
      <c r="L51" s="91"/>
      <c r="M51" s="46"/>
      <c r="N51" s="46"/>
      <c r="O51" s="45"/>
    </row>
    <row r="52">
      <c r="B52" s="91"/>
      <c r="C52" s="46"/>
      <c r="D52" s="46"/>
      <c r="E52" s="45"/>
      <c r="F52" s="90"/>
      <c r="G52" s="91"/>
      <c r="H52" s="46"/>
      <c r="I52" s="46"/>
      <c r="J52" s="45"/>
      <c r="K52" s="90"/>
      <c r="L52" s="91"/>
      <c r="M52" s="46"/>
      <c r="N52" s="46"/>
      <c r="O52" s="45"/>
    </row>
    <row r="53">
      <c r="B53" s="91"/>
      <c r="C53" s="46"/>
      <c r="D53" s="46"/>
      <c r="E53" s="45"/>
      <c r="F53" s="90"/>
      <c r="G53" s="91"/>
      <c r="H53" s="46"/>
      <c r="I53" s="46"/>
      <c r="J53" s="45"/>
      <c r="K53" s="90"/>
      <c r="L53" s="91"/>
      <c r="M53" s="46"/>
      <c r="N53" s="46"/>
      <c r="O53" s="45"/>
    </row>
    <row r="54">
      <c r="B54" s="91"/>
      <c r="C54" s="46"/>
      <c r="D54" s="46"/>
      <c r="E54" s="45"/>
      <c r="F54" s="90"/>
      <c r="G54" s="91"/>
      <c r="H54" s="46"/>
      <c r="I54" s="46"/>
      <c r="J54" s="45"/>
      <c r="K54" s="90"/>
      <c r="L54" s="91"/>
      <c r="M54" s="46"/>
      <c r="N54" s="46"/>
      <c r="O54" s="45"/>
    </row>
    <row r="55">
      <c r="B55" s="7"/>
      <c r="F55" s="7"/>
      <c r="G55" s="7"/>
      <c r="H55" s="7"/>
      <c r="I55" s="7"/>
      <c r="J55" s="7"/>
      <c r="K55" s="7"/>
      <c r="L55" s="7"/>
      <c r="M55" s="7"/>
      <c r="N55" s="7"/>
      <c r="O55" s="7"/>
    </row>
  </sheetData>
  <mergeCells count="111"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  <mergeCell ref="G37:J37"/>
    <mergeCell ref="G38:J38"/>
    <mergeCell ref="G39:J39"/>
    <mergeCell ref="G40:J40"/>
    <mergeCell ref="G41:J41"/>
    <mergeCell ref="G49:J49"/>
    <mergeCell ref="G50:J50"/>
    <mergeCell ref="G51:J51"/>
    <mergeCell ref="G52:J52"/>
    <mergeCell ref="G53:J53"/>
    <mergeCell ref="G54:J54"/>
    <mergeCell ref="G42:J42"/>
    <mergeCell ref="G43:J43"/>
    <mergeCell ref="G44:J44"/>
    <mergeCell ref="G45:J45"/>
    <mergeCell ref="G46:J46"/>
    <mergeCell ref="G47:J47"/>
    <mergeCell ref="G48:J4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50:E50"/>
    <mergeCell ref="B51:E51"/>
    <mergeCell ref="B52:E52"/>
    <mergeCell ref="B53:E53"/>
    <mergeCell ref="B54:E54"/>
    <mergeCell ref="B55:E55"/>
    <mergeCell ref="B43:E43"/>
    <mergeCell ref="B44:E44"/>
    <mergeCell ref="B45:E45"/>
    <mergeCell ref="B46:E46"/>
    <mergeCell ref="B47:E47"/>
    <mergeCell ref="B48:E48"/>
    <mergeCell ref="B49:E49"/>
    <mergeCell ref="L49:O49"/>
    <mergeCell ref="L50:O50"/>
    <mergeCell ref="L51:O51"/>
    <mergeCell ref="L52:O52"/>
    <mergeCell ref="L53:O53"/>
    <mergeCell ref="L54:O54"/>
    <mergeCell ref="L42:O42"/>
    <mergeCell ref="L43:O43"/>
    <mergeCell ref="L44:O44"/>
    <mergeCell ref="L45:O45"/>
    <mergeCell ref="L46:O46"/>
    <mergeCell ref="L47:O47"/>
    <mergeCell ref="L48:O48"/>
    <mergeCell ref="C2:D5"/>
    <mergeCell ref="G3:H3"/>
    <mergeCell ref="I3:J3"/>
    <mergeCell ref="M3:N3"/>
    <mergeCell ref="G4:H4"/>
    <mergeCell ref="I4:J4"/>
    <mergeCell ref="M4:N4"/>
    <mergeCell ref="B4:B5"/>
    <mergeCell ref="B7:E8"/>
    <mergeCell ref="G7:J8"/>
    <mergeCell ref="L7:O8"/>
    <mergeCell ref="B22:E23"/>
    <mergeCell ref="G22:J23"/>
    <mergeCell ref="L22:O23"/>
    <mergeCell ref="G25:J25"/>
    <mergeCell ref="L25:O25"/>
    <mergeCell ref="B24:C24"/>
    <mergeCell ref="D24:E24"/>
    <mergeCell ref="G24:H24"/>
    <mergeCell ref="I24:J24"/>
    <mergeCell ref="L24:M24"/>
    <mergeCell ref="N24:O24"/>
    <mergeCell ref="B25:E25"/>
    <mergeCell ref="B26:E26"/>
    <mergeCell ref="G26:J26"/>
    <mergeCell ref="L26:O26"/>
    <mergeCell ref="B27:E27"/>
    <mergeCell ref="G27:J27"/>
    <mergeCell ref="B28:E28"/>
    <mergeCell ref="L29:O29"/>
    <mergeCell ref="L27:O27"/>
    <mergeCell ref="L28:O28"/>
    <mergeCell ref="L30:O30"/>
    <mergeCell ref="L31:O31"/>
    <mergeCell ref="L32:O32"/>
    <mergeCell ref="L33:O33"/>
    <mergeCell ref="L34:O34"/>
    <mergeCell ref="L35:O35"/>
    <mergeCell ref="L36:O36"/>
    <mergeCell ref="L37:O37"/>
    <mergeCell ref="L38:O38"/>
    <mergeCell ref="L39:O39"/>
    <mergeCell ref="L40:O40"/>
    <mergeCell ref="L41:O41"/>
  </mergeCells>
  <dataValidations>
    <dataValidation type="list" allowBlank="1" showErrorMessage="1" sqref="N24">
      <formula1>'პარამეტრები'!$B$8:$B$16</formula1>
    </dataValidation>
    <dataValidation type="list" allowBlank="1" showErrorMessage="1" sqref="D24">
      <formula1>'პარამეტრები'!$D$8:$E$16</formula1>
    </dataValidation>
    <dataValidation type="list" allowBlank="1" showErrorMessage="1" sqref="I24">
      <formula1>'პარამეტრები'!$G$8:$H$16</formula1>
    </dataValidation>
  </dataValidations>
  <drawing r:id="rId1"/>
</worksheet>
</file>