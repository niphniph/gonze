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სახელმძღვანელო" sheetId="1" r:id="rId5"/>
    <sheet state="visible" name="პარამეტრები" sheetId="2" r:id="rId6"/>
    <sheet state="visible" name="მაგალითი" sheetId="3" r:id="rId7"/>
    <sheet state="visible" name="მთავარი" sheetId="4" r:id="rId8"/>
    <sheet state="visible" name="Jan" sheetId="5" r:id="rId9"/>
    <sheet state="visible" name="Feb" sheetId="6" r:id="rId10"/>
    <sheet state="visible" name="Mar" sheetId="7" r:id="rId11"/>
    <sheet state="visible" name="Apr" sheetId="8" r:id="rId12"/>
    <sheet state="visible" name="May" sheetId="9" r:id="rId13"/>
    <sheet state="visible" name="Jun" sheetId="10" r:id="rId14"/>
    <sheet state="visible" name="Jul" sheetId="11" r:id="rId15"/>
    <sheet state="visible" name="Aug" sheetId="12" r:id="rId16"/>
    <sheet state="visible" name="Sep" sheetId="13" r:id="rId17"/>
    <sheet state="visible" name="Oct" sheetId="14" r:id="rId18"/>
    <sheet state="visible" name="Nov" sheetId="15" r:id="rId19"/>
    <sheet state="visible" name="Dec" sheetId="16" r:id="rId20"/>
  </sheets>
  <definedNames/>
  <calcPr/>
</workbook>
</file>

<file path=xl/sharedStrings.xml><?xml version="1.0" encoding="utf-8"?>
<sst xmlns="http://schemas.openxmlformats.org/spreadsheetml/2006/main" count="881" uniqueCount="105">
  <si>
    <t>1) გახსენით "პარამეტრების" ფურცელი და მოირგეთ კატეგორიები თქვენს საჭიროებებზე. შეგიძლიათ წაშალოთ ის, რაც არ გჭირდებათ და დაამატოთ ყველაფერი, რაც აკლია.</t>
  </si>
  <si>
    <t>2) მიმდინარე თვის ფურცელზე ორჯერ დააწკაპუნეთ უჯრედზე F5 (ზედა მარცხნივ) და შეიყვანეთ თქვენი საწყისი თანხა.</t>
  </si>
  <si>
    <t>3) შეიყვანეთ მხოლოდ თქვენი დაგეგმილი ხარჯები, შემოსავალი და ვალები, რომელთა გადახდასაც აპირებთ. თქვენ არ გჭირდებათ ფაქტობრივი თანხების შევსება! ისინი ავტომატურად გაიყვანება შემდეგი ნაბიჯიდან. კატეგორიები გამოყვანილია" პარამეტრების " ფურცლიდან.</t>
  </si>
  <si>
    <t>4) ჩაწერეთ თქვენი რეალური შემოსავალი და ხარჯები ყოველდღიურად!</t>
  </si>
  <si>
    <t>5) იხილეთ "მაგალითი" ფურცელი ნიმუში, თუ როგორია შევსებული ფურცელი.</t>
  </si>
  <si>
    <t>მზადაა! ახლა თქვენ გაქვთ ტრეკერის საკუთარი ასლი.
გამოიყენეთ ტრეკერი ყოველდღე და უყურეთ, თუ როგორ იწვევს მცირე ნაბიჯები დიდ შედეგებს!
თუ თქვენ გაქვთ რაიმე შეკითხვები, მოგვწერეთ.</t>
  </si>
  <si>
    <t>პარამეტრები</t>
  </si>
  <si>
    <t>შემოსავალი</t>
  </si>
  <si>
    <t>ხარჯები</t>
  </si>
  <si>
    <t>ვალი</t>
  </si>
  <si>
    <t>ხელფასი</t>
  </si>
  <si>
    <t>ქირა</t>
  </si>
  <si>
    <t>სესხები</t>
  </si>
  <si>
    <t>ბონუსი</t>
  </si>
  <si>
    <t>მობილური ტელეფონი</t>
  </si>
  <si>
    <t>ვალები</t>
  </si>
  <si>
    <t>ფრილანსერობა</t>
  </si>
  <si>
    <t>ინტერნეტი</t>
  </si>
  <si>
    <t>საკრედიტო ბარათები</t>
  </si>
  <si>
    <t>ბიზნესი</t>
  </si>
  <si>
    <t>დაზღვევა</t>
  </si>
  <si>
    <t>იპოთეკა</t>
  </si>
  <si>
    <t>ინვესტიციები და დეპოზიტები</t>
  </si>
  <si>
    <t>საწევრო</t>
  </si>
  <si>
    <t>ვალდებულებები</t>
  </si>
  <si>
    <t>სხვა შემოსავალი</t>
  </si>
  <si>
    <t>კომუნალური</t>
  </si>
  <si>
    <t>შემოსავალი ოჯახიდან</t>
  </si>
  <si>
    <t>ოჯახი</t>
  </si>
  <si>
    <t>შემოსავალი მესამე პირიდან</t>
  </si>
  <si>
    <t>შინაური ცხოველები</t>
  </si>
  <si>
    <t>ვალის დაბრუნება</t>
  </si>
  <si>
    <t>პირადი</t>
  </si>
  <si>
    <t>ნივთის გაყიდვა</t>
  </si>
  <si>
    <t>თავის მოვლა</t>
  </si>
  <si>
    <t>სტიპენდია / გრანტი</t>
  </si>
  <si>
    <t>ქველმოქმედება</t>
  </si>
  <si>
    <t>დივიდენდები</t>
  </si>
  <si>
    <t>ტრანსპორტი</t>
  </si>
  <si>
    <t>ტაქსი</t>
  </si>
  <si>
    <t>საჭმელი</t>
  </si>
  <si>
    <t>კაფეები და რესტორნები</t>
  </si>
  <si>
    <t>მანქანა</t>
  </si>
  <si>
    <t>საწვავი</t>
  </si>
  <si>
    <t>მოგზაურობა</t>
  </si>
  <si>
    <t>წამლები</t>
  </si>
  <si>
    <t>გართობა</t>
  </si>
  <si>
    <t>სასმელი</t>
  </si>
  <si>
    <t>სიგარეტი</t>
  </si>
  <si>
    <t>შოპინგი</t>
  </si>
  <si>
    <t>ტანსაცმელი</t>
  </si>
  <si>
    <t>განათლება</t>
  </si>
  <si>
    <t>სპორტი</t>
  </si>
  <si>
    <t>расходы</t>
  </si>
  <si>
    <t>доходы</t>
  </si>
  <si>
    <t>Сводка</t>
  </si>
  <si>
    <t>Наименование</t>
  </si>
  <si>
    <t>Plan</t>
  </si>
  <si>
    <t>Actual</t>
  </si>
  <si>
    <t>ნოემბერი</t>
  </si>
  <si>
    <t>ხარჯი</t>
  </si>
  <si>
    <t>ბალანსი</t>
  </si>
  <si>
    <t>მთლიანი ბალანსი</t>
  </si>
  <si>
    <t>ტენდენციები</t>
  </si>
  <si>
    <t>Income</t>
  </si>
  <si>
    <t>გეგმა</t>
  </si>
  <si>
    <t>რეალობა</t>
  </si>
  <si>
    <t>Expenses</t>
  </si>
  <si>
    <t>საწყისი თანხა</t>
  </si>
  <si>
    <t>Остаток</t>
  </si>
  <si>
    <t>Общий остаток</t>
  </si>
  <si>
    <t>Долги</t>
  </si>
  <si>
    <t>ხარჯები კატეგორიის მიხედვით</t>
  </si>
  <si>
    <t>გეგმა / რეალობა</t>
  </si>
  <si>
    <t>შემოსავალი კატეგორიის მიხედვით</t>
  </si>
  <si>
    <t>Тренд расходов</t>
  </si>
  <si>
    <t>Тренд доходов</t>
  </si>
  <si>
    <t>დაგეგმილი ხარჯები</t>
  </si>
  <si>
    <t>დაგეგმილი შემოსავალი</t>
  </si>
  <si>
    <t>წყარო</t>
  </si>
  <si>
    <t>სულ</t>
  </si>
  <si>
    <t>ყოველდღიური ხარჯები</t>
  </si>
  <si>
    <t>ყოველდღიური შემოსავალი</t>
  </si>
  <si>
    <t>თარიღი</t>
  </si>
  <si>
    <t>კატეგორია</t>
  </si>
  <si>
    <t>თანხა</t>
  </si>
  <si>
    <t>კომენტარი</t>
  </si>
  <si>
    <t>План</t>
  </si>
  <si>
    <t>Факт</t>
  </si>
  <si>
    <t>Траты</t>
  </si>
  <si>
    <t>Доходы</t>
  </si>
  <si>
    <t>წლიური რეზიუმე</t>
  </si>
  <si>
    <t>Расходы</t>
  </si>
  <si>
    <t>долги</t>
  </si>
  <si>
    <t>იანვარი</t>
  </si>
  <si>
    <t>თებერვალი</t>
  </si>
  <si>
    <t>მარტი</t>
  </si>
  <si>
    <t>აპრილი</t>
  </si>
  <si>
    <t>მაისი</t>
  </si>
  <si>
    <t>ივნისი</t>
  </si>
  <si>
    <t>ივლისი</t>
  </si>
  <si>
    <t>აგვისტო</t>
  </si>
  <si>
    <t>სექტემბერი</t>
  </si>
  <si>
    <t>ოქტომბერი</t>
  </si>
  <si>
    <t>დეკემბერი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</si>
</sst>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9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sz val="36.0"/>
      <color rgb="FFFFFFFF"/>
      <name val="Arial"/>
    </font>
    <font/>
    <font>
      <color theme="1"/>
      <name val="Arial"/>
    </font>
    <font>
      <sz val="15.0"/>
      <color rgb="FFFFFFFF"/>
      <name val="Arial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color rgb="FF666666"/>
      <name val="Arial"/>
      <scheme val="minor"/>
    </font>
    <font>
      <b/>
      <sz val="20.0"/>
      <color rgb="FF666666"/>
      <name val="Arial"/>
      <scheme val="minor"/>
    </font>
    <font>
      <b/>
      <sz val="12.0"/>
      <color rgb="FFFFFFFF"/>
      <name val="Arial"/>
      <scheme val="minor"/>
    </font>
    <font>
      <b/>
      <color rgb="FF434343"/>
      <name val="Arial"/>
      <scheme val="minor"/>
    </font>
    <font>
      <b/>
      <color rgb="FF666666"/>
      <name val="Arial"/>
      <scheme val="minor"/>
    </font>
    <font>
      <b/>
      <sz val="9.0"/>
      <color rgb="FFFFFFFF"/>
      <name val="Arial"/>
      <scheme val="minor"/>
    </font>
    <font>
      <sz val="9.0"/>
      <color rgb="FF666666"/>
      <name val="Arial"/>
      <scheme val="minor"/>
    </font>
    <font>
      <b/>
      <sz val="11.0"/>
      <color rgb="FFFFFFFF"/>
      <name val="Arial"/>
      <scheme val="minor"/>
    </font>
    <font>
      <b/>
      <color rgb="FF2B2B2B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</fills>
  <borders count="31">
    <border/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bottom style="thin">
        <color rgb="FFCCCCCC"/>
      </bottom>
    </border>
    <border>
      <right style="thin">
        <color rgb="FFB7B7B7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5" numFmtId="0" xfId="0" applyAlignment="1" applyFont="1">
      <alignment vertical="bottom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6" numFmtId="0" xfId="0" applyAlignment="1" applyBorder="1" applyFont="1">
      <alignment horizontal="center" readingOrder="0"/>
    </xf>
    <xf borderId="10" fillId="0" fontId="4" numFmtId="0" xfId="0" applyBorder="1" applyFont="1"/>
    <xf borderId="11" fillId="2" fontId="6" numFmtId="0" xfId="0" applyAlignment="1" applyBorder="1" applyFont="1">
      <alignment horizontal="center" readingOrder="0" vertical="bottom"/>
    </xf>
    <xf borderId="0" fillId="2" fontId="6" numFmtId="0" xfId="0" applyAlignment="1" applyFont="1">
      <alignment horizontal="center" readingOrder="0"/>
    </xf>
    <xf borderId="12" fillId="3" fontId="7" numFmtId="0" xfId="0" applyAlignment="1" applyBorder="1" applyFill="1" applyFont="1">
      <alignment horizontal="center" readingOrder="0"/>
    </xf>
    <xf borderId="13" fillId="0" fontId="4" numFmtId="0" xfId="0" applyBorder="1" applyFont="1"/>
    <xf borderId="0" fillId="0" fontId="7" numFmtId="0" xfId="0" applyAlignment="1" applyFont="1">
      <alignment horizontal="center"/>
    </xf>
    <xf borderId="14" fillId="3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vertical="bottom"/>
    </xf>
    <xf borderId="9" fillId="3" fontId="7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Font="1"/>
    <xf borderId="15" fillId="0" fontId="9" numFmtId="0" xfId="0" applyAlignment="1" applyBorder="1" applyFont="1">
      <alignment readingOrder="0"/>
    </xf>
    <xf borderId="16" fillId="0" fontId="4" numFmtId="0" xfId="0" applyBorder="1" applyFont="1"/>
    <xf borderId="17" fillId="0" fontId="4" numFmtId="0" xfId="0" applyBorder="1" applyFont="1"/>
    <xf borderId="18" fillId="0" fontId="10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22" fillId="0" fontId="4" numFmtId="0" xfId="0" applyBorder="1" applyFont="1"/>
    <xf borderId="23" fillId="0" fontId="10" numFmtId="0" xfId="0" applyAlignment="1" applyBorder="1" applyFont="1">
      <alignment horizontal="center" vertical="center"/>
    </xf>
    <xf borderId="0" fillId="4" fontId="11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24" fillId="0" fontId="10" numFmtId="0" xfId="0" applyAlignment="1" applyBorder="1" applyFont="1">
      <alignment horizontal="center" vertical="center"/>
    </xf>
    <xf borderId="0" fillId="0" fontId="9" numFmtId="4" xfId="0" applyAlignment="1" applyFont="1" applyNumberFormat="1">
      <alignment readingOrder="0"/>
    </xf>
    <xf borderId="0" fillId="5" fontId="13" numFmtId="0" xfId="0" applyAlignment="1" applyFill="1" applyFont="1">
      <alignment horizontal="center" readingOrder="0" vertical="center"/>
    </xf>
    <xf borderId="18" fillId="4" fontId="14" numFmtId="4" xfId="0" applyAlignment="1" applyBorder="1" applyFont="1" applyNumberFormat="1">
      <alignment horizontal="center" readingOrder="0" vertical="center"/>
    </xf>
    <xf borderId="20" fillId="0" fontId="4" numFmtId="0" xfId="0" applyBorder="1" applyFont="1"/>
    <xf borderId="0" fillId="2" fontId="15" numFmtId="0" xfId="0" applyAlignment="1" applyFont="1">
      <alignment horizontal="center" readingOrder="0" shrinkToFit="0" vertical="center" wrapText="1"/>
    </xf>
    <xf borderId="25" fillId="4" fontId="10" numFmtId="4" xfId="0" applyAlignment="1" applyBorder="1" applyFont="1" applyNumberFormat="1">
      <alignment horizontal="center" vertical="center"/>
    </xf>
    <xf borderId="26" fillId="0" fontId="4" numFmtId="0" xfId="0" applyBorder="1" applyFont="1"/>
    <xf borderId="25" fillId="4" fontId="10" numFmtId="4" xfId="0" applyAlignment="1" applyBorder="1" applyFont="1" applyNumberFormat="1">
      <alignment horizontal="center" readingOrder="0" vertical="center"/>
    </xf>
    <xf borderId="27" fillId="0" fontId="4" numFmtId="0" xfId="0" applyBorder="1" applyFont="1"/>
    <xf borderId="28" fillId="0" fontId="4" numFmtId="0" xfId="0" applyBorder="1" applyFont="1"/>
    <xf borderId="25" fillId="4" fontId="10" numFmtId="0" xfId="0" applyAlignment="1" applyBorder="1" applyFont="1">
      <alignment horizontal="center" readingOrder="0" vertical="center"/>
    </xf>
    <xf borderId="27" fillId="0" fontId="10" numFmtId="0" xfId="0" applyAlignment="1" applyBorder="1" applyFont="1">
      <alignment horizontal="center" vertical="center"/>
    </xf>
    <xf borderId="29" fillId="0" fontId="16" numFmtId="0" xfId="0" applyAlignment="1" applyBorder="1" applyFont="1">
      <alignment horizontal="center" readingOrder="0" shrinkToFit="0" vertical="center" wrapText="1"/>
    </xf>
    <xf borderId="29" fillId="0" fontId="10" numFmtId="0" xfId="0" applyAlignment="1" applyBorder="1" applyFont="1">
      <alignment horizontal="center" readingOrder="0" vertical="center"/>
    </xf>
    <xf borderId="29" fillId="0" fontId="10" numFmtId="0" xfId="0" applyAlignment="1" applyBorder="1" applyFont="1">
      <alignment horizontal="center" vertical="center"/>
    </xf>
    <xf borderId="28" fillId="0" fontId="10" numFmtId="0" xfId="0" applyAlignment="1" applyBorder="1" applyFont="1">
      <alignment horizontal="center" vertical="center"/>
    </xf>
    <xf borderId="0" fillId="0" fontId="10" numFmtId="0" xfId="0" applyFont="1"/>
    <xf borderId="1" fillId="2" fontId="12" numFmtId="0" xfId="0" applyAlignment="1" applyBorder="1" applyFont="1">
      <alignment horizontal="center" readingOrder="0"/>
    </xf>
    <xf borderId="4" fillId="0" fontId="10" numFmtId="0" xfId="0" applyBorder="1" applyFont="1"/>
    <xf borderId="5" fillId="0" fontId="10" numFmtId="0" xfId="0" applyBorder="1" applyFont="1"/>
    <xf borderId="0" fillId="0" fontId="9" numFmtId="0" xfId="0" applyFont="1"/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25" fillId="2" fontId="17" numFmtId="0" xfId="0" applyAlignment="1" applyBorder="1" applyFont="1">
      <alignment horizontal="center" readingOrder="0" vertical="center"/>
    </xf>
    <xf borderId="30" fillId="0" fontId="4" numFmtId="0" xfId="0" applyBorder="1" applyFont="1"/>
    <xf borderId="25" fillId="5" fontId="13" numFmtId="0" xfId="0" applyAlignment="1" applyBorder="1" applyFont="1">
      <alignment horizontal="center" readingOrder="0" vertical="center"/>
    </xf>
    <xf borderId="25" fillId="0" fontId="10" numFmtId="0" xfId="0" applyAlignment="1" applyBorder="1" applyFont="1">
      <alignment horizontal="center" readingOrder="0" vertical="center"/>
    </xf>
    <xf borderId="25" fillId="0" fontId="10" numFmtId="4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readingOrder="0"/>
    </xf>
    <xf borderId="25" fillId="0" fontId="10" numFmtId="164" xfId="0" applyAlignment="1" applyBorder="1" applyFont="1" applyNumberFormat="1">
      <alignment horizontal="center" readingOrder="0" vertical="center"/>
    </xf>
    <xf borderId="25" fillId="0" fontId="10" numFmtId="0" xfId="0" applyAlignment="1" applyBorder="1" applyFont="1">
      <alignment horizontal="center" vertical="center"/>
    </xf>
    <xf borderId="25" fillId="0" fontId="10" numFmtId="4" xfId="0" applyAlignment="1" applyBorder="1" applyFont="1" applyNumberFormat="1">
      <alignment horizontal="center" vertical="center"/>
    </xf>
    <xf borderId="23" fillId="4" fontId="11" numFmtId="0" xfId="0" applyAlignment="1" applyBorder="1" applyFont="1">
      <alignment horizontal="center" readingOrder="0" vertical="center"/>
    </xf>
    <xf borderId="23" fillId="0" fontId="4" numFmtId="0" xfId="0" applyBorder="1" applyFont="1"/>
    <xf borderId="0" fillId="5" fontId="18" numFmtId="4" xfId="0" applyAlignment="1" applyFont="1" applyNumberFormat="1">
      <alignment horizontal="center" readingOrder="0" vertical="center"/>
    </xf>
    <xf borderId="0" fillId="0" fontId="9" numFmtId="164" xfId="0" applyFont="1" applyNumberFormat="1"/>
    <xf borderId="0" fillId="0" fontId="9" numFmtId="4" xfId="0" applyFont="1" applyNumberFormat="1"/>
  </cellXfs>
  <cellStyles count="1">
    <cellStyle xfId="0" name="Normal" builtinId="0"/>
  </cellStyles>
  <dxfs count="1">
    <dxf>
      <font>
        <color rgb="FF666666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'მაგალითი'!$BA$3:$BA$4</c:f>
            </c:strRef>
          </c:cat>
          <c:val>
            <c:numRef>
              <c:f>'მაგალითი'!$BF$3:$BF$4</c:f>
              <c:numCache/>
            </c:numRef>
          </c:val>
        </c:ser>
        <c:ser>
          <c:idx val="1"/>
          <c:order val="1"/>
          <c:tx>
            <c:v>რეალობა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'მაგალითი'!$BA$3:$BA$4</c:f>
            </c:strRef>
          </c:cat>
          <c:val>
            <c:numRef>
              <c:f>'მაგალითი'!$BI$3:$BI$4</c:f>
              <c:numCache/>
            </c:numRef>
          </c:val>
        </c:ser>
        <c:axId val="418212811"/>
        <c:axId val="202344629"/>
      </c:barChart>
      <c:catAx>
        <c:axId val="418212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44629"/>
      </c:catAx>
      <c:valAx>
        <c:axId val="202344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212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'მთავარი'!$BM$3:$BM$62</c:f>
            </c:strRef>
          </c:cat>
          <c:val>
            <c:numRef>
              <c:f>'მთავარი'!$BN$3:$BN$62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'მთავარი'!$N$3:$V$3</c:f>
            </c:strRef>
          </c:cat>
          <c:val>
            <c:numRef>
              <c:f>'მთავარი'!$N$4:$V$4</c:f>
              <c:numCache/>
            </c:numRef>
          </c:val>
        </c:ser>
        <c:ser>
          <c:idx val="1"/>
          <c:order val="1"/>
          <c:cat>
            <c:strRef>
              <c:f>'მთავარი'!$N$3:$V$3</c:f>
            </c:strRef>
          </c:cat>
          <c:val>
            <c:numRef>
              <c:f>'მთავარი'!$N$5:$V$5</c:f>
              <c:numCache/>
            </c:numRef>
          </c:val>
        </c:ser>
        <c:axId val="167420146"/>
        <c:axId val="1177723466"/>
      </c:barChart>
      <c:catAx>
        <c:axId val="1674201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723466"/>
      </c:catAx>
      <c:valAx>
        <c:axId val="1177723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201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'მთავარი'!$BO$3:$BO$32</c:f>
            </c:strRef>
          </c:cat>
          <c:val>
            <c:numRef>
              <c:f>'მთავარი'!$BP$3:$BP$32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Jan!$BA$3:$BA$4</c:f>
            </c:strRef>
          </c:cat>
          <c:val>
            <c:numRef>
              <c:f>Jan!$BF$3:$BF$4</c:f>
              <c:numCache/>
            </c:numRef>
          </c:val>
        </c:ser>
        <c:ser>
          <c:idx val="1"/>
          <c:order val="1"/>
          <c:tx>
            <c:v>რეალური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Jan!$BA$3:$BA$4</c:f>
            </c:strRef>
          </c:cat>
          <c:val>
            <c:numRef>
              <c:f>Jan!$BI$3:$BI$4</c:f>
              <c:numCache/>
            </c:numRef>
          </c:val>
        </c:ser>
        <c:axId val="904838599"/>
        <c:axId val="2016834790"/>
      </c:barChart>
      <c:catAx>
        <c:axId val="904838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834790"/>
      </c:catAx>
      <c:valAx>
        <c:axId val="2016834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8385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Feb!$BA$3:$BA$4</c:f>
            </c:strRef>
          </c:cat>
          <c:val>
            <c:numRef>
              <c:f>Feb!$BF$3:$BF$4</c:f>
              <c:numCache/>
            </c:numRef>
          </c:val>
        </c:ser>
        <c:ser>
          <c:idx val="1"/>
          <c:order val="1"/>
          <c:tx>
            <c:v>რეალური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Feb!$BA$3:$BA$4</c:f>
            </c:strRef>
          </c:cat>
          <c:val>
            <c:numRef>
              <c:f>Feb!$BI$3:$BI$4</c:f>
              <c:numCache/>
            </c:numRef>
          </c:val>
        </c:ser>
        <c:axId val="497083285"/>
        <c:axId val="942779663"/>
      </c:barChart>
      <c:catAx>
        <c:axId val="497083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779663"/>
      </c:catAx>
      <c:valAx>
        <c:axId val="942779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083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Mar!$BA$3:$BA$4</c:f>
            </c:strRef>
          </c:cat>
          <c:val>
            <c:numRef>
              <c:f>Mar!$BF$3:$BF$4</c:f>
              <c:numCache/>
            </c:numRef>
          </c:val>
        </c:ser>
        <c:ser>
          <c:idx val="1"/>
          <c:order val="1"/>
          <c:tx>
            <c:v>რეალური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Mar!$BA$3:$BA$4</c:f>
            </c:strRef>
          </c:cat>
          <c:val>
            <c:numRef>
              <c:f>Mar!$BI$3:$BI$4</c:f>
              <c:numCache/>
            </c:numRef>
          </c:val>
        </c:ser>
        <c:axId val="1505751658"/>
        <c:axId val="2082899080"/>
      </c:barChart>
      <c:catAx>
        <c:axId val="1505751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899080"/>
      </c:catAx>
      <c:valAx>
        <c:axId val="2082899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751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Apr!$BA$3:$BA$4</c:f>
            </c:strRef>
          </c:cat>
          <c:val>
            <c:numRef>
              <c:f>Apr!$BF$3:$BF$4</c:f>
              <c:numCache/>
            </c:numRef>
          </c:val>
        </c:ser>
        <c:ser>
          <c:idx val="1"/>
          <c:order val="1"/>
          <c:tx>
            <c:v>რეალური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Apr!$BA$3:$BA$4</c:f>
            </c:strRef>
          </c:cat>
          <c:val>
            <c:numRef>
              <c:f>Apr!$BI$3:$BI$4</c:f>
              <c:numCache/>
            </c:numRef>
          </c:val>
        </c:ser>
        <c:axId val="113119888"/>
        <c:axId val="406687699"/>
      </c:barChart>
      <c:catAx>
        <c:axId val="11311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687699"/>
      </c:catAx>
      <c:valAx>
        <c:axId val="406687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19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May!$BA$3:$BA$4</c:f>
            </c:strRef>
          </c:cat>
          <c:val>
            <c:numRef>
              <c:f>May!$BF$3:$BF$4</c:f>
              <c:numCache/>
            </c:numRef>
          </c:val>
        </c:ser>
        <c:ser>
          <c:idx val="1"/>
          <c:order val="1"/>
          <c:tx>
            <c:v>რეალური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May!$BA$3:$BA$4</c:f>
            </c:strRef>
          </c:cat>
          <c:val>
            <c:numRef>
              <c:f>May!$BI$3:$BI$4</c:f>
              <c:numCache/>
            </c:numRef>
          </c:val>
        </c:ser>
        <c:axId val="1887350064"/>
        <c:axId val="592581264"/>
      </c:barChart>
      <c:catAx>
        <c:axId val="1887350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581264"/>
      </c:catAx>
      <c:valAx>
        <c:axId val="592581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350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Jun!$BA$3:$BA$4</c:f>
            </c:strRef>
          </c:cat>
          <c:val>
            <c:numRef>
              <c:f>Jun!$BF$3:$BF$4</c:f>
              <c:numCache/>
            </c:numRef>
          </c:val>
        </c:ser>
        <c:ser>
          <c:idx val="1"/>
          <c:order val="1"/>
          <c:tx>
            <c:strRef>
              <c:f>Jun!$BI$2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Jun!$BA$3:$BA$4</c:f>
            </c:strRef>
          </c:cat>
          <c:val>
            <c:numRef>
              <c:f>Jun!$BI$3:$BI$4</c:f>
              <c:numCache/>
            </c:numRef>
          </c:val>
        </c:ser>
        <c:axId val="690360746"/>
        <c:axId val="1256515018"/>
      </c:barChart>
      <c:catAx>
        <c:axId val="690360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6515018"/>
      </c:catAx>
      <c:valAx>
        <c:axId val="1256515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0360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Jul!$BA$3:$BA$4</c:f>
            </c:strRef>
          </c:cat>
          <c:val>
            <c:numRef>
              <c:f>Jul!$BF$3:$BF$4</c:f>
              <c:numCache/>
            </c:numRef>
          </c:val>
        </c:ser>
        <c:ser>
          <c:idx val="1"/>
          <c:order val="1"/>
          <c:tx>
            <c:v>რეალური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Jul!$BA$3:$BA$4</c:f>
            </c:strRef>
          </c:cat>
          <c:val>
            <c:numRef>
              <c:f>Jul!$BI$3:$BI$4</c:f>
              <c:numCache/>
            </c:numRef>
          </c:val>
        </c:ser>
        <c:axId val="1353193309"/>
        <c:axId val="1869115005"/>
      </c:barChart>
      <c:catAx>
        <c:axId val="1353193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115005"/>
      </c:catAx>
      <c:valAx>
        <c:axId val="1869115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1933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Aug!$BA$3:$BA$4</c:f>
            </c:strRef>
          </c:cat>
          <c:val>
            <c:numRef>
              <c:f>Aug!$BF$3:$BF$4</c:f>
              <c:numCache/>
            </c:numRef>
          </c:val>
        </c:ser>
        <c:ser>
          <c:idx val="1"/>
          <c:order val="1"/>
          <c:tx>
            <c:v>რეალური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Aug!$BA$3:$BA$4</c:f>
            </c:strRef>
          </c:cat>
          <c:val>
            <c:numRef>
              <c:f>Aug!$BI$3:$BI$4</c:f>
              <c:numCache/>
            </c:numRef>
          </c:val>
        </c:ser>
        <c:axId val="698298625"/>
        <c:axId val="509611104"/>
      </c:barChart>
      <c:catAx>
        <c:axId val="698298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611104"/>
      </c:catAx>
      <c:valAx>
        <c:axId val="509611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298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Sep!$BA$3:$BA$4</c:f>
            </c:strRef>
          </c:cat>
          <c:val>
            <c:numRef>
              <c:f>Sep!$BF$3:$BF$4</c:f>
              <c:numCache/>
            </c:numRef>
          </c:val>
        </c:ser>
        <c:ser>
          <c:idx val="1"/>
          <c:order val="1"/>
          <c:tx>
            <c:strRef>
              <c:f>Sep!$BI$2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Sep!$BA$3:$BA$4</c:f>
            </c:strRef>
          </c:cat>
          <c:val>
            <c:numRef>
              <c:f>Sep!$BI$3:$BI$4</c:f>
              <c:numCache/>
            </c:numRef>
          </c:val>
        </c:ser>
        <c:axId val="1742639910"/>
        <c:axId val="1572530794"/>
      </c:barChart>
      <c:catAx>
        <c:axId val="1742639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530794"/>
      </c:catAx>
      <c:valAx>
        <c:axId val="1572530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639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Oct!$BA$3:$BA$4</c:f>
            </c:strRef>
          </c:cat>
          <c:val>
            <c:numRef>
              <c:f>Oct!$BF$3:$BF$4</c:f>
              <c:numCache/>
            </c:numRef>
          </c:val>
        </c:ser>
        <c:ser>
          <c:idx val="1"/>
          <c:order val="1"/>
          <c:tx>
            <c:strRef>
              <c:f>Oct!$BI$2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Oct!$BA$3:$BA$4</c:f>
            </c:strRef>
          </c:cat>
          <c:val>
            <c:numRef>
              <c:f>Oct!$BI$3:$BI$4</c:f>
              <c:numCache/>
            </c:numRef>
          </c:val>
        </c:ser>
        <c:axId val="1325757858"/>
        <c:axId val="748099144"/>
      </c:barChart>
      <c:catAx>
        <c:axId val="1325757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099144"/>
      </c:catAx>
      <c:valAx>
        <c:axId val="7480991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7578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Nov!$BA$3:$BA$4</c:f>
            </c:strRef>
          </c:cat>
          <c:val>
            <c:numRef>
              <c:f>Nov!$BF$3:$BF$4</c:f>
              <c:numCache/>
            </c:numRef>
          </c:val>
        </c:ser>
        <c:ser>
          <c:idx val="1"/>
          <c:order val="1"/>
          <c:tx>
            <c:strRef>
              <c:f>Nov!$BI$2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Nov!$BA$3:$BA$4</c:f>
            </c:strRef>
          </c:cat>
          <c:val>
            <c:numRef>
              <c:f>Nov!$BI$3:$BI$4</c:f>
              <c:numCache/>
            </c:numRef>
          </c:val>
        </c:ser>
        <c:axId val="879644546"/>
        <c:axId val="387876699"/>
      </c:barChart>
      <c:catAx>
        <c:axId val="879644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7876699"/>
      </c:catAx>
      <c:valAx>
        <c:axId val="387876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644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გეგმა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Dec!$BA$3:$BA$4</c:f>
            </c:strRef>
          </c:cat>
          <c:val>
            <c:numRef>
              <c:f>Dec!$BF$3:$BF$4</c:f>
              <c:numCache/>
            </c:numRef>
          </c:val>
        </c:ser>
        <c:ser>
          <c:idx val="1"/>
          <c:order val="1"/>
          <c:tx>
            <c:v>რეალობა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Dec!$BA$3:$BA$4</c:f>
            </c:strRef>
          </c:cat>
          <c:val>
            <c:numRef>
              <c:f>Dec!$BI$3:$BI$4</c:f>
              <c:numCache/>
            </c:numRef>
          </c:val>
        </c:ser>
        <c:axId val="2055052916"/>
        <c:axId val="921095729"/>
      </c:barChart>
      <c:catAx>
        <c:axId val="2055052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095729"/>
      </c:catAx>
      <c:valAx>
        <c:axId val="921095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052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image" Target="../media/Chart8.png"/><Relationship Id="rId3" Type="http://schemas.openxmlformats.org/officeDocument/2006/relationships/image" Target="../media/Chart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114300</xdr:colOff>
      <xdr:row>33</xdr:row>
      <xdr:rowOff>38100</xdr:rowOff>
    </xdr:from>
    <xdr:ext cx="2857500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41</xdr:row>
      <xdr:rowOff>9525</xdr:rowOff>
    </xdr:from>
    <xdr:ext cx="10648950" cy="27908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56</xdr:row>
      <xdr:rowOff>200025</xdr:rowOff>
    </xdr:from>
    <xdr:ext cx="10106025" cy="25908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70</xdr:row>
      <xdr:rowOff>161925</xdr:rowOff>
    </xdr:from>
    <xdr:ext cx="5724525" cy="6572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4876800" cy="5962650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192491292" name="Chart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318157998" name="Chart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8</xdr:row>
      <xdr:rowOff>47625</xdr:rowOff>
    </xdr:from>
    <xdr:ext cx="3800475" cy="317182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0</xdr:colOff>
      <xdr:row>8</xdr:row>
      <xdr:rowOff>0</xdr:rowOff>
    </xdr:from>
    <xdr:ext cx="4152900" cy="317182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24</xdr:col>
      <xdr:colOff>180975</xdr:colOff>
      <xdr:row>8</xdr:row>
      <xdr:rowOff>47625</xdr:rowOff>
    </xdr:from>
    <xdr:ext cx="3800475" cy="3171825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1707137377" name="Chart8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1989513975" name="Chart9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968235381" name="Chart1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1904790772" name="Chart1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1304265994" name="Chart14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2099300530" name="Chart1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620437835" name="Chart17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1247189994" name="Chart18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19" name="Chart 1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955988939" name="Chart20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420814318" name="Chart2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22" name="Chart 2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1794875238" name="Chart2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1484364574" name="Chart24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25" name="Chart 2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236789715" name="Chart26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457745192" name="Chart27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28" name="Chart 2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1038641801" name="Chart29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412599886" name="Chart30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31" name="Chart 3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121665140" name="Chart3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1882849225" name="Chart33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34" name="Chart 3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909720120" name="Chart3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264326137" name="Chart36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37" name="Chart 3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1174318544" name="Chart38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436430854" name="Chart39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</xdr:row>
      <xdr:rowOff>171450</xdr:rowOff>
    </xdr:from>
    <xdr:ext cx="4038600" cy="3343275"/>
    <xdr:graphicFrame>
      <xdr:nvGraphicFramePr>
        <xdr:cNvPr id="40" name="Chart 4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28575</xdr:colOff>
      <xdr:row>8</xdr:row>
      <xdr:rowOff>28575</xdr:rowOff>
    </xdr:from>
    <xdr:ext cx="3829050" cy="3171825"/>
    <xdr:pic>
      <xdr:nvPicPr>
        <xdr:cNvPr id="979658905" name="Chart4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8</xdr:row>
      <xdr:rowOff>28575</xdr:rowOff>
    </xdr:from>
    <xdr:ext cx="3743325" cy="3171825"/>
    <xdr:pic>
      <xdr:nvPicPr>
        <xdr:cNvPr id="1245746865" name="Chart4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</cols>
  <sheetData>
    <row r="2">
      <c r="B2" s="1" t="s">
        <v>0</v>
      </c>
    </row>
    <row r="33">
      <c r="B33" s="2" t="s">
        <v>1</v>
      </c>
    </row>
    <row r="41">
      <c r="B41" s="3" t="s">
        <v>2</v>
      </c>
      <c r="J41" s="3"/>
    </row>
    <row r="42">
      <c r="B42" s="3"/>
      <c r="C42" s="3"/>
      <c r="D42" s="3"/>
      <c r="E42" s="3"/>
      <c r="F42" s="3"/>
      <c r="G42" s="3"/>
      <c r="H42" s="3"/>
      <c r="I42" s="3"/>
      <c r="J42" s="3"/>
    </row>
    <row r="43">
      <c r="B43" s="3"/>
      <c r="C43" s="3"/>
      <c r="D43" s="3"/>
      <c r="E43" s="3"/>
      <c r="F43" s="3"/>
      <c r="G43" s="3"/>
      <c r="H43" s="3"/>
      <c r="I43" s="3"/>
      <c r="J43" s="3"/>
    </row>
    <row r="44">
      <c r="B44" s="3"/>
      <c r="C44" s="3"/>
      <c r="D44" s="3"/>
      <c r="E44" s="3"/>
      <c r="F44" s="3"/>
      <c r="G44" s="3"/>
      <c r="H44" s="3"/>
      <c r="I44" s="3"/>
      <c r="J44" s="3"/>
    </row>
    <row r="57">
      <c r="B57" s="2" t="s">
        <v>3</v>
      </c>
    </row>
    <row r="71">
      <c r="B71" s="2" t="s">
        <v>4</v>
      </c>
    </row>
    <row r="72">
      <c r="B72" s="2"/>
    </row>
    <row r="74">
      <c r="B74" s="4" t="s">
        <v>5</v>
      </c>
    </row>
  </sheetData>
  <mergeCells count="3">
    <mergeCell ref="B2:F2"/>
    <mergeCell ref="B41:I41"/>
    <mergeCell ref="B74:H8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4" max="4" width="3.88"/>
    <col customWidth="1" min="5" max="5" width="20.38"/>
    <col customWidth="1" min="6" max="6" width="3.88"/>
  </cols>
  <sheetData>
    <row r="2">
      <c r="B2" s="5" t="s">
        <v>6</v>
      </c>
      <c r="C2" s="6"/>
      <c r="D2" s="6"/>
      <c r="E2" s="6"/>
      <c r="F2" s="6"/>
      <c r="G2" s="6"/>
      <c r="H2" s="7"/>
    </row>
    <row r="3">
      <c r="B3" s="8"/>
      <c r="H3" s="9"/>
    </row>
    <row r="4">
      <c r="B4" s="8"/>
      <c r="H4" s="9"/>
      <c r="I4" s="10"/>
      <c r="J4" s="10"/>
      <c r="K4" s="10"/>
      <c r="L4" s="10"/>
      <c r="M4" s="10"/>
      <c r="N4" s="10"/>
    </row>
    <row r="5">
      <c r="B5" s="11"/>
      <c r="C5" s="12"/>
      <c r="D5" s="12"/>
      <c r="E5" s="12"/>
      <c r="F5" s="12"/>
      <c r="G5" s="12"/>
      <c r="H5" s="13"/>
      <c r="N5" s="10"/>
    </row>
    <row r="6">
      <c r="B6" s="10"/>
      <c r="C6" s="10"/>
      <c r="D6" s="10"/>
      <c r="E6" s="10"/>
      <c r="F6" s="10"/>
      <c r="G6" s="10"/>
      <c r="H6" s="10"/>
      <c r="N6" s="10"/>
    </row>
    <row r="7">
      <c r="B7" s="14" t="s">
        <v>7</v>
      </c>
      <c r="C7" s="15"/>
      <c r="E7" s="16" t="s">
        <v>8</v>
      </c>
      <c r="F7" s="10"/>
      <c r="G7" s="17" t="s">
        <v>9</v>
      </c>
      <c r="N7" s="10"/>
    </row>
    <row r="8">
      <c r="B8" s="18" t="s">
        <v>10</v>
      </c>
      <c r="C8" s="19"/>
      <c r="D8" s="20"/>
      <c r="E8" s="21" t="s">
        <v>11</v>
      </c>
      <c r="F8" s="22"/>
      <c r="G8" s="23" t="s">
        <v>12</v>
      </c>
      <c r="H8" s="15"/>
      <c r="N8" s="10"/>
    </row>
    <row r="9">
      <c r="B9" s="18" t="s">
        <v>13</v>
      </c>
      <c r="C9" s="19"/>
      <c r="D9" s="20"/>
      <c r="E9" s="21" t="s">
        <v>14</v>
      </c>
      <c r="F9" s="22"/>
      <c r="G9" s="23" t="s">
        <v>15</v>
      </c>
      <c r="H9" s="15"/>
      <c r="N9" s="10"/>
    </row>
    <row r="10">
      <c r="B10" s="18" t="s">
        <v>16</v>
      </c>
      <c r="C10" s="19"/>
      <c r="D10" s="20"/>
      <c r="E10" s="21" t="s">
        <v>17</v>
      </c>
      <c r="F10" s="22"/>
      <c r="G10" s="23" t="s">
        <v>18</v>
      </c>
      <c r="H10" s="15"/>
      <c r="N10" s="10"/>
    </row>
    <row r="11">
      <c r="B11" s="18" t="s">
        <v>19</v>
      </c>
      <c r="C11" s="19"/>
      <c r="D11" s="20"/>
      <c r="E11" s="21" t="s">
        <v>20</v>
      </c>
      <c r="F11" s="22"/>
      <c r="G11" s="23" t="s">
        <v>21</v>
      </c>
      <c r="H11" s="15"/>
      <c r="N11" s="10"/>
    </row>
    <row r="12">
      <c r="B12" s="18" t="s">
        <v>22</v>
      </c>
      <c r="C12" s="19"/>
      <c r="D12" s="20"/>
      <c r="E12" s="21" t="s">
        <v>23</v>
      </c>
      <c r="F12" s="22"/>
      <c r="G12" s="23" t="s">
        <v>24</v>
      </c>
      <c r="H12" s="15"/>
      <c r="N12" s="10"/>
    </row>
    <row r="13">
      <c r="B13" s="18" t="s">
        <v>25</v>
      </c>
      <c r="C13" s="19"/>
      <c r="D13" s="20"/>
      <c r="E13" s="21" t="s">
        <v>26</v>
      </c>
      <c r="F13" s="22"/>
      <c r="G13" s="23"/>
      <c r="H13" s="15"/>
      <c r="N13" s="10"/>
    </row>
    <row r="14">
      <c r="B14" s="18" t="s">
        <v>27</v>
      </c>
      <c r="C14" s="19"/>
      <c r="D14" s="20"/>
      <c r="E14" s="21" t="s">
        <v>28</v>
      </c>
      <c r="F14" s="22"/>
      <c r="G14" s="23"/>
      <c r="H14" s="15"/>
      <c r="N14" s="10"/>
    </row>
    <row r="15">
      <c r="B15" s="18" t="s">
        <v>29</v>
      </c>
      <c r="C15" s="19"/>
      <c r="D15" s="20"/>
      <c r="E15" s="21" t="s">
        <v>30</v>
      </c>
      <c r="F15" s="22"/>
      <c r="G15" s="23"/>
      <c r="H15" s="15"/>
      <c r="N15" s="10"/>
    </row>
    <row r="16">
      <c r="B16" s="18" t="s">
        <v>31</v>
      </c>
      <c r="C16" s="19"/>
      <c r="D16" s="20"/>
      <c r="E16" s="21" t="s">
        <v>32</v>
      </c>
      <c r="F16" s="22"/>
      <c r="G16" s="23"/>
      <c r="H16" s="15"/>
      <c r="N16" s="10"/>
    </row>
    <row r="17">
      <c r="B17" s="18" t="s">
        <v>33</v>
      </c>
      <c r="C17" s="19"/>
      <c r="D17" s="22"/>
      <c r="E17" s="21" t="s">
        <v>34</v>
      </c>
      <c r="F17" s="22"/>
      <c r="G17" s="23"/>
      <c r="H17" s="15"/>
      <c r="N17" s="10"/>
    </row>
    <row r="18">
      <c r="B18" s="18" t="s">
        <v>35</v>
      </c>
      <c r="C18" s="19"/>
      <c r="D18" s="20"/>
      <c r="E18" s="21" t="s">
        <v>36</v>
      </c>
      <c r="F18" s="20"/>
      <c r="G18" s="23"/>
      <c r="H18" s="15"/>
      <c r="N18" s="10"/>
    </row>
    <row r="19">
      <c r="B19" s="18" t="s">
        <v>37</v>
      </c>
      <c r="C19" s="19"/>
      <c r="D19" s="20"/>
      <c r="E19" s="21" t="s">
        <v>38</v>
      </c>
      <c r="F19" s="20"/>
      <c r="G19" s="23"/>
      <c r="H19" s="15"/>
      <c r="N19" s="10"/>
    </row>
    <row r="20">
      <c r="B20" s="18"/>
      <c r="C20" s="19"/>
      <c r="D20" s="20"/>
      <c r="E20" s="21" t="s">
        <v>39</v>
      </c>
      <c r="F20" s="20"/>
      <c r="G20" s="23"/>
      <c r="H20" s="15"/>
      <c r="N20" s="10"/>
    </row>
    <row r="21">
      <c r="B21" s="18"/>
      <c r="C21" s="19"/>
      <c r="D21" s="20"/>
      <c r="E21" s="21" t="s">
        <v>40</v>
      </c>
      <c r="F21" s="20"/>
      <c r="G21" s="23"/>
      <c r="H21" s="15"/>
    </row>
    <row r="22">
      <c r="B22" s="18"/>
      <c r="C22" s="19"/>
      <c r="D22" s="20"/>
      <c r="E22" s="21" t="s">
        <v>41</v>
      </c>
      <c r="F22" s="20"/>
      <c r="G22" s="23"/>
      <c r="H22" s="15"/>
    </row>
    <row r="23">
      <c r="B23" s="18"/>
      <c r="C23" s="19"/>
      <c r="D23" s="20"/>
      <c r="E23" s="21" t="s">
        <v>42</v>
      </c>
      <c r="F23" s="20"/>
      <c r="G23" s="23"/>
      <c r="H23" s="15"/>
    </row>
    <row r="24">
      <c r="B24" s="18"/>
      <c r="C24" s="19"/>
      <c r="D24" s="20"/>
      <c r="E24" s="21" t="s">
        <v>43</v>
      </c>
      <c r="F24" s="20"/>
      <c r="G24" s="23"/>
      <c r="H24" s="15"/>
    </row>
    <row r="25">
      <c r="B25" s="18"/>
      <c r="C25" s="19"/>
      <c r="D25" s="20"/>
      <c r="E25" s="21" t="s">
        <v>44</v>
      </c>
      <c r="F25" s="20"/>
      <c r="G25" s="23"/>
      <c r="H25" s="15"/>
    </row>
    <row r="26">
      <c r="B26" s="18"/>
      <c r="C26" s="19"/>
      <c r="D26" s="20"/>
      <c r="E26" s="21" t="s">
        <v>45</v>
      </c>
      <c r="F26" s="20"/>
      <c r="G26" s="23"/>
      <c r="H26" s="15"/>
    </row>
    <row r="27">
      <c r="B27" s="18"/>
      <c r="C27" s="19"/>
      <c r="D27" s="20"/>
      <c r="E27" s="21" t="s">
        <v>46</v>
      </c>
      <c r="F27" s="20"/>
      <c r="G27" s="23"/>
      <c r="H27" s="15"/>
    </row>
    <row r="28">
      <c r="B28" s="18"/>
      <c r="C28" s="19"/>
      <c r="D28" s="20"/>
      <c r="E28" s="21" t="s">
        <v>47</v>
      </c>
      <c r="F28" s="20"/>
      <c r="G28" s="23"/>
      <c r="H28" s="15"/>
    </row>
    <row r="29">
      <c r="B29" s="18"/>
      <c r="C29" s="19"/>
      <c r="D29" s="20"/>
      <c r="E29" s="21" t="s">
        <v>48</v>
      </c>
      <c r="F29" s="20"/>
      <c r="G29" s="23"/>
      <c r="H29" s="15"/>
    </row>
    <row r="30">
      <c r="B30" s="18"/>
      <c r="C30" s="19"/>
      <c r="D30" s="20"/>
      <c r="E30" s="21" t="s">
        <v>49</v>
      </c>
      <c r="F30" s="20"/>
      <c r="G30" s="23"/>
      <c r="H30" s="15"/>
    </row>
    <row r="31">
      <c r="B31" s="18"/>
      <c r="C31" s="19"/>
      <c r="D31" s="20"/>
      <c r="E31" s="21" t="s">
        <v>50</v>
      </c>
      <c r="F31" s="20"/>
      <c r="G31" s="23"/>
      <c r="H31" s="15"/>
    </row>
    <row r="32">
      <c r="B32" s="18"/>
      <c r="C32" s="19"/>
      <c r="D32" s="20"/>
      <c r="E32" s="21" t="s">
        <v>51</v>
      </c>
      <c r="F32" s="20"/>
      <c r="G32" s="23"/>
      <c r="H32" s="15"/>
    </row>
    <row r="33">
      <c r="B33" s="18"/>
      <c r="C33" s="19"/>
      <c r="D33" s="20"/>
      <c r="E33" s="21" t="s">
        <v>52</v>
      </c>
      <c r="F33" s="20"/>
      <c r="G33" s="23"/>
      <c r="H33" s="15"/>
    </row>
    <row r="34">
      <c r="B34" s="18"/>
      <c r="C34" s="19"/>
      <c r="D34" s="20"/>
      <c r="E34" s="21"/>
      <c r="F34" s="20"/>
      <c r="G34" s="23"/>
      <c r="H34" s="15"/>
    </row>
    <row r="35">
      <c r="B35" s="18"/>
      <c r="C35" s="19"/>
      <c r="D35" s="20"/>
      <c r="E35" s="21"/>
      <c r="F35" s="20"/>
      <c r="G35" s="23"/>
      <c r="H35" s="15"/>
    </row>
    <row r="36">
      <c r="B36" s="18"/>
      <c r="C36" s="19"/>
      <c r="D36" s="20"/>
      <c r="E36" s="21"/>
      <c r="F36" s="20"/>
      <c r="G36" s="23"/>
      <c r="H36" s="15"/>
    </row>
    <row r="37">
      <c r="B37" s="18"/>
      <c r="C37" s="19"/>
      <c r="D37" s="20"/>
      <c r="E37" s="21"/>
      <c r="F37" s="20"/>
      <c r="G37" s="23"/>
      <c r="H37" s="15"/>
    </row>
    <row r="38">
      <c r="B38" s="20"/>
      <c r="C38" s="20"/>
      <c r="D38" s="20"/>
      <c r="E38" s="20"/>
      <c r="F38" s="20"/>
      <c r="G38" s="20"/>
      <c r="H38" s="20"/>
    </row>
    <row r="39">
      <c r="B39" s="20"/>
      <c r="C39" s="20"/>
      <c r="D39" s="20"/>
      <c r="E39" s="20"/>
      <c r="F39" s="20"/>
      <c r="G39" s="20"/>
      <c r="H39" s="20"/>
    </row>
    <row r="40">
      <c r="B40" s="20"/>
      <c r="C40" s="20"/>
      <c r="D40" s="20"/>
      <c r="E40" s="20"/>
      <c r="F40" s="20"/>
      <c r="G40" s="20"/>
      <c r="H40" s="20"/>
    </row>
    <row r="41">
      <c r="B41" s="20"/>
      <c r="C41" s="20"/>
      <c r="D41" s="20"/>
      <c r="E41" s="20"/>
      <c r="F41" s="20"/>
      <c r="G41" s="20"/>
      <c r="H41" s="20"/>
    </row>
    <row r="42">
      <c r="B42" s="20"/>
      <c r="C42" s="20"/>
      <c r="D42" s="20"/>
      <c r="E42" s="20"/>
      <c r="F42" s="20"/>
      <c r="G42" s="20"/>
      <c r="H42" s="20"/>
    </row>
  </sheetData>
  <mergeCells count="63">
    <mergeCell ref="G29:H29"/>
    <mergeCell ref="G30:H30"/>
    <mergeCell ref="G22:H22"/>
    <mergeCell ref="G23:H23"/>
    <mergeCell ref="G24:H24"/>
    <mergeCell ref="G25:H25"/>
    <mergeCell ref="G26:H26"/>
    <mergeCell ref="G27:H27"/>
    <mergeCell ref="G28:H28"/>
    <mergeCell ref="G32:H32"/>
    <mergeCell ref="G33:H33"/>
    <mergeCell ref="B28:C28"/>
    <mergeCell ref="B29:C29"/>
    <mergeCell ref="B30:C30"/>
    <mergeCell ref="B31:C31"/>
    <mergeCell ref="G31:H31"/>
    <mergeCell ref="B32:C32"/>
    <mergeCell ref="B33:C33"/>
    <mergeCell ref="G9:H9"/>
    <mergeCell ref="G10:H10"/>
    <mergeCell ref="B2:H5"/>
    <mergeCell ref="B7:C7"/>
    <mergeCell ref="G7:H7"/>
    <mergeCell ref="B8:C8"/>
    <mergeCell ref="G8:H8"/>
    <mergeCell ref="B9:C9"/>
    <mergeCell ref="B10:C10"/>
    <mergeCell ref="B11:C11"/>
    <mergeCell ref="G11:H11"/>
    <mergeCell ref="B12:C12"/>
    <mergeCell ref="G12:H12"/>
    <mergeCell ref="B13:C13"/>
    <mergeCell ref="G13:H13"/>
    <mergeCell ref="G14:H14"/>
    <mergeCell ref="B14:C14"/>
    <mergeCell ref="B15:C15"/>
    <mergeCell ref="B16:C16"/>
    <mergeCell ref="B17:C17"/>
    <mergeCell ref="B18:C18"/>
    <mergeCell ref="B19:C19"/>
    <mergeCell ref="B20:C20"/>
    <mergeCell ref="G15:H15"/>
    <mergeCell ref="G16:H16"/>
    <mergeCell ref="G17:H17"/>
    <mergeCell ref="G18:H18"/>
    <mergeCell ref="G19:H19"/>
    <mergeCell ref="G20:H20"/>
    <mergeCell ref="G21:H21"/>
    <mergeCell ref="B21:C21"/>
    <mergeCell ref="B22:C22"/>
    <mergeCell ref="B23:C23"/>
    <mergeCell ref="B24:C24"/>
    <mergeCell ref="B25:C25"/>
    <mergeCell ref="B26:C26"/>
    <mergeCell ref="B27:C27"/>
    <mergeCell ref="B34:C34"/>
    <mergeCell ref="G34:H34"/>
    <mergeCell ref="B35:C35"/>
    <mergeCell ref="G35:H35"/>
    <mergeCell ref="B36:C36"/>
    <mergeCell ref="G36:H36"/>
    <mergeCell ref="B37:C37"/>
    <mergeCell ref="G37:H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59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7000</v>
      </c>
      <c r="BI3" s="40">
        <f>SUM(AB44:AD143)</f>
        <v>7100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100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4610</v>
      </c>
      <c r="BI4" s="40">
        <f>SUM(J44:L143)</f>
        <v>3098</v>
      </c>
      <c r="BK4" s="34"/>
    </row>
    <row r="5">
      <c r="B5" s="35"/>
      <c r="C5" s="44" t="s">
        <v>68</v>
      </c>
      <c r="F5" s="41">
        <v>8000.0</v>
      </c>
      <c r="H5" s="37"/>
      <c r="I5" s="45">
        <f>BF3</f>
        <v>7000</v>
      </c>
      <c r="J5" s="46"/>
      <c r="K5" s="47">
        <f>BI3</f>
        <v>7100</v>
      </c>
      <c r="L5" s="46"/>
      <c r="M5" s="37"/>
      <c r="N5" s="45">
        <f>BF4</f>
        <v>4610</v>
      </c>
      <c r="O5" s="46"/>
      <c r="P5" s="47">
        <f>BI4</f>
        <v>3098</v>
      </c>
      <c r="Q5" s="46"/>
      <c r="R5" s="37"/>
      <c r="S5" s="45">
        <f>BF5</f>
        <v>2790</v>
      </c>
      <c r="T5" s="46"/>
      <c r="U5" s="47">
        <f>BI5</f>
        <v>4002</v>
      </c>
      <c r="V5" s="46"/>
      <c r="W5" s="37"/>
      <c r="X5" s="45">
        <f>BF6</f>
        <v>10790</v>
      </c>
      <c r="Y5" s="46"/>
      <c r="Z5" s="47">
        <f>BI6</f>
        <v>12002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2790</v>
      </c>
      <c r="BI5" s="40">
        <f>SUM(AB44:AD143)-SUM(J44:L143)</f>
        <v>4002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10790</v>
      </c>
      <c r="BI6" s="40">
        <f>F5+BI5</f>
        <v>12002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100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 t="s">
        <v>11</v>
      </c>
      <c r="C28" s="65"/>
      <c r="D28" s="65"/>
      <c r="E28" s="65"/>
      <c r="F28" s="46"/>
      <c r="G28" s="68">
        <v>3000.0</v>
      </c>
      <c r="H28" s="65"/>
      <c r="I28" s="46"/>
      <c r="J28" s="68">
        <f t="shared" ref="J28:J39" si="1">SUMIF($E$44:$I$143,B28,$J$44:$L$143)</f>
        <v>2000</v>
      </c>
      <c r="K28" s="65"/>
      <c r="L28" s="46"/>
      <c r="M28" s="56"/>
      <c r="N28" s="67" t="s">
        <v>10</v>
      </c>
      <c r="O28" s="65"/>
      <c r="P28" s="65"/>
      <c r="Q28" s="65"/>
      <c r="R28" s="46"/>
      <c r="S28" s="68">
        <v>5000.0</v>
      </c>
      <c r="T28" s="65"/>
      <c r="U28" s="46"/>
      <c r="V28" s="68">
        <f t="shared" ref="V28:V39" si="2">SUMIF($W$44:$AA$143,N28,$AB$44:$AD$143)</f>
        <v>5000</v>
      </c>
      <c r="W28" s="65"/>
      <c r="X28" s="46"/>
      <c r="Y28" s="56"/>
      <c r="Z28" s="67" t="s">
        <v>15</v>
      </c>
      <c r="AA28" s="65"/>
      <c r="AB28" s="65"/>
      <c r="AC28" s="65"/>
      <c r="AD28" s="46"/>
      <c r="AE28" s="68">
        <v>500.0</v>
      </c>
      <c r="AF28" s="65"/>
      <c r="AG28" s="46"/>
      <c r="AH28" s="68">
        <f t="shared" ref="AH28:AH39" si="3">SUMIF($E$44:$I$143,Z28,$J$44:$L$143)</f>
        <v>400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 t="s">
        <v>14</v>
      </c>
      <c r="C29" s="65"/>
      <c r="D29" s="65"/>
      <c r="E29" s="65"/>
      <c r="F29" s="46"/>
      <c r="G29" s="68">
        <v>30.0</v>
      </c>
      <c r="H29" s="65"/>
      <c r="I29" s="46"/>
      <c r="J29" s="68">
        <f t="shared" si="1"/>
        <v>30</v>
      </c>
      <c r="K29" s="65"/>
      <c r="L29" s="46"/>
      <c r="M29" s="56"/>
      <c r="N29" s="67" t="s">
        <v>19</v>
      </c>
      <c r="O29" s="65"/>
      <c r="P29" s="65"/>
      <c r="Q29" s="65"/>
      <c r="R29" s="46"/>
      <c r="S29" s="68">
        <v>2000.0</v>
      </c>
      <c r="T29" s="65"/>
      <c r="U29" s="46"/>
      <c r="V29" s="68">
        <f t="shared" si="2"/>
        <v>2100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 t="s">
        <v>17</v>
      </c>
      <c r="C30" s="65"/>
      <c r="D30" s="65"/>
      <c r="E30" s="65"/>
      <c r="F30" s="46"/>
      <c r="G30" s="68">
        <v>30.0</v>
      </c>
      <c r="H30" s="65"/>
      <c r="I30" s="46"/>
      <c r="J30" s="68">
        <f t="shared" si="1"/>
        <v>30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 t="s">
        <v>23</v>
      </c>
      <c r="C31" s="65"/>
      <c r="D31" s="65"/>
      <c r="E31" s="65"/>
      <c r="F31" s="46"/>
      <c r="G31" s="68">
        <v>50.0</v>
      </c>
      <c r="H31" s="65"/>
      <c r="I31" s="46"/>
      <c r="J31" s="68">
        <f t="shared" si="1"/>
        <v>8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 t="s">
        <v>40</v>
      </c>
      <c r="C32" s="65"/>
      <c r="D32" s="65"/>
      <c r="E32" s="65"/>
      <c r="F32" s="46"/>
      <c r="G32" s="68">
        <v>1000.0</v>
      </c>
      <c r="H32" s="65"/>
      <c r="I32" s="46"/>
      <c r="J32" s="68">
        <f t="shared" si="1"/>
        <v>500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4110</v>
      </c>
      <c r="H40" s="65"/>
      <c r="I40" s="46"/>
      <c r="J40" s="68">
        <f>SUM(J28:L39)</f>
        <v>2568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7000</v>
      </c>
      <c r="T40" s="65"/>
      <c r="U40" s="46"/>
      <c r="V40" s="68">
        <f>SUM(V28:X39)</f>
        <v>7100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100</v>
      </c>
      <c r="AF40" s="65"/>
      <c r="AG40" s="46"/>
      <c r="AH40" s="68">
        <f>SUM(AH28:AJ39)</f>
        <v>400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 t="s">
        <v>11</v>
      </c>
      <c r="F44" s="65"/>
      <c r="G44" s="65"/>
      <c r="H44" s="65"/>
      <c r="I44" s="46"/>
      <c r="J44" s="68">
        <v>1000.0</v>
      </c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 t="s">
        <v>10</v>
      </c>
      <c r="X44" s="65"/>
      <c r="Y44" s="65"/>
      <c r="Z44" s="65"/>
      <c r="AA44" s="46"/>
      <c r="AB44" s="68">
        <v>1500.0</v>
      </c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 t="s">
        <v>14</v>
      </c>
      <c r="F45" s="65"/>
      <c r="G45" s="65"/>
      <c r="H45" s="65"/>
      <c r="I45" s="46"/>
      <c r="J45" s="68">
        <v>30.0</v>
      </c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 t="s">
        <v>10</v>
      </c>
      <c r="X45" s="65"/>
      <c r="Y45" s="65"/>
      <c r="Z45" s="65"/>
      <c r="AA45" s="46"/>
      <c r="AB45" s="68">
        <v>3500.0</v>
      </c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 t="s">
        <v>17</v>
      </c>
      <c r="F46" s="65"/>
      <c r="G46" s="65"/>
      <c r="H46" s="65"/>
      <c r="I46" s="46"/>
      <c r="J46" s="68">
        <v>30.0</v>
      </c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 t="s">
        <v>19</v>
      </c>
      <c r="X46" s="65"/>
      <c r="Y46" s="65"/>
      <c r="Z46" s="65"/>
      <c r="AA46" s="46"/>
      <c r="AB46" s="68">
        <v>500.0</v>
      </c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 t="s">
        <v>23</v>
      </c>
      <c r="F47" s="65"/>
      <c r="G47" s="65"/>
      <c r="H47" s="65"/>
      <c r="I47" s="46"/>
      <c r="J47" s="68">
        <v>5.0</v>
      </c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 t="s">
        <v>19</v>
      </c>
      <c r="X47" s="65"/>
      <c r="Y47" s="65"/>
      <c r="Z47" s="65"/>
      <c r="AA47" s="46"/>
      <c r="AB47" s="68">
        <v>700.0</v>
      </c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 t="s">
        <v>23</v>
      </c>
      <c r="F48" s="65"/>
      <c r="G48" s="65"/>
      <c r="H48" s="65"/>
      <c r="I48" s="46"/>
      <c r="J48" s="68">
        <v>3.0</v>
      </c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 t="s">
        <v>19</v>
      </c>
      <c r="X48" s="65"/>
      <c r="Y48" s="65"/>
      <c r="Z48" s="65"/>
      <c r="AA48" s="46"/>
      <c r="AB48" s="68">
        <v>900.0</v>
      </c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 t="s">
        <v>40</v>
      </c>
      <c r="F49" s="65"/>
      <c r="G49" s="65"/>
      <c r="H49" s="65"/>
      <c r="I49" s="46"/>
      <c r="J49" s="68">
        <v>200.0</v>
      </c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71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 t="s">
        <v>52</v>
      </c>
      <c r="F50" s="65"/>
      <c r="G50" s="65"/>
      <c r="H50" s="65"/>
      <c r="I50" s="46"/>
      <c r="J50" s="68">
        <v>100.0</v>
      </c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71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 t="s">
        <v>40</v>
      </c>
      <c r="F51" s="65"/>
      <c r="G51" s="65"/>
      <c r="H51" s="65"/>
      <c r="I51" s="46"/>
      <c r="J51" s="68">
        <v>300.0</v>
      </c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 t="s">
        <v>11</v>
      </c>
      <c r="F52" s="65"/>
      <c r="G52" s="65"/>
      <c r="H52" s="65"/>
      <c r="I52" s="46"/>
      <c r="J52" s="68">
        <v>1000.0</v>
      </c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 t="s">
        <v>39</v>
      </c>
      <c r="F53" s="65"/>
      <c r="G53" s="65"/>
      <c r="H53" s="65"/>
      <c r="I53" s="46"/>
      <c r="J53" s="68">
        <v>30.0</v>
      </c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 t="s">
        <v>15</v>
      </c>
      <c r="F54" s="65"/>
      <c r="G54" s="65"/>
      <c r="H54" s="65"/>
      <c r="I54" s="46"/>
      <c r="J54" s="68">
        <v>400.0</v>
      </c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W44:W143">
      <formula1>'მაგალითი'!$AV$1:$AV$34</formula1>
    </dataValidation>
    <dataValidation type="list" allowBlank="1" showErrorMessage="1" sqref="B28:B39">
      <formula1>'მაგალითი'!$AR$1:$AR$34</formula1>
    </dataValidation>
    <dataValidation type="list" allowBlank="1" showErrorMessage="1" sqref="N28:N39">
      <formula1>'მაგალითი'!$AV$1:$AV$34</formula1>
    </dataValidation>
    <dataValidation type="list" allowBlank="1" showErrorMessage="1" sqref="E44:E143">
      <formula1>'მაგალითი'!$AR$1:$AR$64</formula1>
    </dataValidation>
    <dataValidation type="list" allowBlank="1" showErrorMessage="1" sqref="Z28:Z39">
      <formula1>'მაგალითი'!$AR$35:$AR$64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 t="shared" ref="AR1:AR4" si="1">'Настройка'!E8</f>
        <v>#REF!</v>
      </c>
      <c r="AV1" s="25" t="str">
        <f t="shared" ref="AV1:AV4" si="2">'Настройка'!B8</f>
        <v>#REF!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 t="shared" si="1"/>
        <v>#REF!</v>
      </c>
      <c r="AV2" s="25" t="str">
        <f t="shared" si="2"/>
        <v>#REF!</v>
      </c>
      <c r="BA2" s="32" t="s">
        <v>56</v>
      </c>
      <c r="BF2" s="33" t="s">
        <v>87</v>
      </c>
      <c r="BI2" s="33" t="s">
        <v>88</v>
      </c>
      <c r="BK2" s="34"/>
      <c r="BM2" s="33" t="s">
        <v>89</v>
      </c>
      <c r="BO2" s="33" t="s">
        <v>90</v>
      </c>
    </row>
    <row r="3">
      <c r="B3" s="73" t="s">
        <v>91</v>
      </c>
      <c r="N3" s="38" t="s">
        <v>7</v>
      </c>
      <c r="R3" s="37"/>
      <c r="S3" s="38" t="s">
        <v>60</v>
      </c>
      <c r="W3" s="37"/>
      <c r="X3" s="38" t="s">
        <v>61</v>
      </c>
      <c r="AJ3" s="39"/>
      <c r="AR3" s="25" t="str">
        <f t="shared" si="1"/>
        <v>#REF!</v>
      </c>
      <c r="AV3" s="25" t="str">
        <f t="shared" si="2"/>
        <v>#REF!</v>
      </c>
      <c r="BA3" s="32" t="s">
        <v>90</v>
      </c>
      <c r="BF3" s="40" t="str">
        <f>S40</f>
        <v/>
      </c>
      <c r="BI3" s="40">
        <f>SUM(AB44:AD143)</f>
        <v>0</v>
      </c>
      <c r="BK3" s="34"/>
      <c r="BM3" s="25" t="str">
        <f t="shared" ref="BM3:BM32" si="3">'Настройка'!E8</f>
        <v>#REF!</v>
      </c>
      <c r="BN3" s="25" t="str">
        <f t="shared" ref="BN3:BN37" si="4">SUMIF('Ноя'!$E$44:$I$143,BM3,'Ноя'!$J$44:$L$143)+SUMIF('Дек'!$E$44:$I$143,BM3,'Дек'!$J$44:$L$143)+SUMIF('Янв'!$E$44:$I$143,BM3,'Янв'!$J$44:$L$143)+SUMIF('Фев'!$E$44:$I$143,BM3,'Фев'!$J$44:$L$143)+SUMIF('Мар'!$E$44:$I$143,BM3,'Мар'!$J$44:$L$143)+SUMIF('Апр'!$E$44:$I$143,BM3,'Апр'!$J$44:$L$143)+SUMIF('Май'!$E$44:$I$143,BM3,'Май'!$J$44:$L$143)+SUMIF('Июн'!$E$44:$I$143,BM3,'Июн'!$J$44:$L$143)+SUMIF('Июл'!$E$44:$I$143,BM3,'Июл'!$J$44:$L$143)+SUMIF('Авг'!$E$44:$I$143,BM3,'Авг'!$J$44:$L$143)+SUMIF('Сен'!$E$44:$I$143,BM3,'Сен'!$J$44:$L$143)+SUMIF('Окт'!$E$44:$I$143,BM3,'Окт'!$J$44:$L$143)</f>
        <v>#N/A</v>
      </c>
      <c r="BO3" s="25" t="str">
        <f t="shared" ref="BO3:BO32" si="5">'Настройка'!B8</f>
        <v>#REF!</v>
      </c>
      <c r="BP3" s="25" t="str">
        <f t="shared" ref="BP3:BP32" si="6">SUMIF('Ноя'!$W$44:$AA$143,BO3,'Ноя'!$AB$44:$AD$143)+SUMIF('Дек'!$W$44:$AA$143,BO3,'Дек'!$AB$44:$AD$143)+SUMIF('Янв'!$W$44:$AA$143,BO3,'Янв'!$AB$44:$AD$143)+SUMIF('Фев'!$W$44:$AA$143,BO3,'Фев'!$AB$44:$AD$143)+SUMIF('Мар'!$W$44:$AA$143,BO3,'Мар'!$AB$44:$AD$143)+SUMIF('Апр'!$W$44:$AA$143,BO3,'Апр'!$AB$44:$AD$143)+SUMIF('Май'!$W$44:$AA$143,BO3,'Май'!$AB$44:$AD$143)+SUMIF('Июн'!$W$44:$AA$143,BO3,'Июн'!$AB$44:$AD$143)+SUMIF('Июл'!$W$44:$AA$143,BO3,'Июл'!$AB$44:$AD$143)+SUMIF('Авг'!$W$44:$AA$143,BO3,'Авг'!$AB$44:$AD$143)+SUMIF('Сен'!$W$44:$AA$143,BO3,'Сен'!$AB$44:$AD$143)+SUMIF('Окт'!$W$44:$AA$143,BO3,'Окт'!$AB$44:$AD$143)</f>
        <v>#N/A</v>
      </c>
    </row>
    <row r="4">
      <c r="B4" s="74"/>
      <c r="N4" s="75">
        <f>Nov!K5+Dec!K5+Jan!K5+Feb!K5+Mar!K5+Apr!K5+May!K5+Jun!K5+Jul!K5+Aug!K5+Sep!K5+Oct!K5</f>
        <v>0</v>
      </c>
      <c r="R4" s="37"/>
      <c r="S4" s="75">
        <f>Nov!P5+Dec!P5+Jan!P5+Feb!P5+Mar!P5+Apr!P5+May!P5+Jun!P5+Jul!P5+Aug!P5+Sep!P5+Oct!P5</f>
        <v>0</v>
      </c>
      <c r="W4" s="37"/>
      <c r="X4" s="75">
        <f>Nov!U5+Dec!U5+Jan!U5+Feb!U5+Mar!U5+Apr!U5+May!U5+Jun!U5+Jul!U5+Aug!U5+Sep!U5+Oct!U5</f>
        <v>0</v>
      </c>
      <c r="AJ4" s="39"/>
      <c r="AR4" s="25" t="str">
        <f t="shared" si="1"/>
        <v>#REF!</v>
      </c>
      <c r="AV4" s="25" t="str">
        <f t="shared" si="2"/>
        <v>#REF!</v>
      </c>
      <c r="BA4" s="32" t="s">
        <v>92</v>
      </c>
      <c r="BF4" s="40">
        <f>G40+SUM(AE28:AG39)</f>
        <v>0</v>
      </c>
      <c r="BI4" s="40">
        <f>SUM(J44:L143)</f>
        <v>0</v>
      </c>
      <c r="BK4" s="34"/>
      <c r="BM4" s="25" t="str">
        <f t="shared" si="3"/>
        <v>#REF!</v>
      </c>
      <c r="BN4" s="25" t="str">
        <f t="shared" si="4"/>
        <v>#N/A</v>
      </c>
      <c r="BO4" s="25" t="str">
        <f t="shared" si="5"/>
        <v>#REF!</v>
      </c>
      <c r="BP4" s="25" t="str">
        <f t="shared" si="6"/>
        <v>#N/A</v>
      </c>
    </row>
    <row r="5">
      <c r="B5" s="74"/>
      <c r="R5" s="37"/>
      <c r="W5" s="37"/>
      <c r="AJ5" s="39"/>
      <c r="BA5" s="32" t="s">
        <v>69</v>
      </c>
      <c r="BF5" s="40">
        <f>S40-G40-AE40</f>
        <v>0</v>
      </c>
      <c r="BI5" s="40">
        <f>SUM(AB44:AD143)-SUM(J44:L143)</f>
        <v>0</v>
      </c>
      <c r="BK5" s="34"/>
      <c r="BM5" s="25" t="str">
        <f t="shared" si="3"/>
        <v>#REF!</v>
      </c>
      <c r="BN5" s="25" t="str">
        <f t="shared" si="4"/>
        <v>#N/A</v>
      </c>
      <c r="BO5" s="25" t="str">
        <f t="shared" si="5"/>
        <v>#REF!</v>
      </c>
      <c r="BP5" s="25" t="str">
        <f t="shared" si="6"/>
        <v>#N/A</v>
      </c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BA6" s="32" t="s">
        <v>70</v>
      </c>
      <c r="BF6" s="40">
        <f>F5+BF5</f>
        <v>0</v>
      </c>
      <c r="BI6" s="40">
        <f>F5+BI5</f>
        <v>0</v>
      </c>
      <c r="BK6" s="34"/>
      <c r="BM6" s="25" t="str">
        <f t="shared" si="3"/>
        <v>#REF!</v>
      </c>
      <c r="BN6" s="25" t="str">
        <f t="shared" si="4"/>
        <v>#N/A</v>
      </c>
      <c r="BO6" s="25" t="str">
        <f t="shared" si="5"/>
        <v>#REF!</v>
      </c>
      <c r="BP6" s="25" t="str">
        <f t="shared" si="6"/>
        <v>#N/A</v>
      </c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BA7" s="32" t="s">
        <v>71</v>
      </c>
      <c r="BF7" s="40" t="str">
        <f>AE40</f>
        <v/>
      </c>
      <c r="BK7" s="34"/>
      <c r="BM7" s="25" t="str">
        <f t="shared" si="3"/>
        <v>#REF!</v>
      </c>
      <c r="BN7" s="25" t="str">
        <f t="shared" si="4"/>
        <v>#N/A</v>
      </c>
      <c r="BO7" s="25" t="str">
        <f t="shared" si="5"/>
        <v>#REF!</v>
      </c>
      <c r="BP7" s="25" t="str">
        <f t="shared" si="6"/>
        <v>#N/A</v>
      </c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BA8" s="32" t="s">
        <v>75</v>
      </c>
      <c r="BF8" s="33">
        <v>0.0</v>
      </c>
      <c r="BK8" s="34"/>
      <c r="BM8" s="25" t="str">
        <f t="shared" si="3"/>
        <v>#REF!</v>
      </c>
      <c r="BN8" s="25" t="str">
        <f t="shared" si="4"/>
        <v>#N/A</v>
      </c>
      <c r="BO8" s="25" t="str">
        <f t="shared" si="5"/>
        <v>#REF!</v>
      </c>
      <c r="BP8" s="25" t="str">
        <f t="shared" si="6"/>
        <v>#N/A</v>
      </c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 t="shared" ref="AR9:AR34" si="7">'Настройка'!E12</f>
        <v>#REF!</v>
      </c>
      <c r="AV9" s="25" t="str">
        <f t="shared" ref="AV9:AV34" si="8">'Настройка'!B12</f>
        <v>#REF!</v>
      </c>
      <c r="BA9" s="32" t="s">
        <v>76</v>
      </c>
      <c r="BF9" s="33">
        <v>0.0</v>
      </c>
      <c r="BK9" s="34"/>
      <c r="BM9" s="25" t="str">
        <f t="shared" si="3"/>
        <v>#REF!</v>
      </c>
      <c r="BN9" s="25" t="str">
        <f t="shared" si="4"/>
        <v>#N/A</v>
      </c>
      <c r="BO9" s="25" t="str">
        <f t="shared" si="5"/>
        <v>#REF!</v>
      </c>
      <c r="BP9" s="25" t="str">
        <f t="shared" si="6"/>
        <v>#N/A</v>
      </c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 t="shared" si="7"/>
        <v>#REF!</v>
      </c>
      <c r="AV10" s="25" t="str">
        <f t="shared" si="8"/>
        <v>#REF!</v>
      </c>
      <c r="BM10" s="25" t="str">
        <f t="shared" si="3"/>
        <v>#REF!</v>
      </c>
      <c r="BN10" s="25" t="str">
        <f t="shared" si="4"/>
        <v>#N/A</v>
      </c>
      <c r="BO10" s="25" t="str">
        <f t="shared" si="5"/>
        <v>#REF!</v>
      </c>
      <c r="BP10" s="25" t="str">
        <f t="shared" si="6"/>
        <v>#N/A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 t="shared" si="7"/>
        <v>#REF!</v>
      </c>
      <c r="AV11" s="25" t="str">
        <f t="shared" si="8"/>
        <v>#REF!</v>
      </c>
      <c r="BM11" s="25" t="str">
        <f t="shared" si="3"/>
        <v>#REF!</v>
      </c>
      <c r="BN11" s="25" t="str">
        <f t="shared" si="4"/>
        <v>#N/A</v>
      </c>
      <c r="BO11" s="25" t="str">
        <f t="shared" si="5"/>
        <v>#REF!</v>
      </c>
      <c r="BP11" s="25" t="str">
        <f t="shared" si="6"/>
        <v>#N/A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 t="shared" si="7"/>
        <v>#REF!</v>
      </c>
      <c r="AV12" s="25" t="str">
        <f t="shared" si="8"/>
        <v>#REF!</v>
      </c>
      <c r="BM12" s="25" t="str">
        <f t="shared" si="3"/>
        <v>#REF!</v>
      </c>
      <c r="BN12" s="25" t="str">
        <f t="shared" si="4"/>
        <v>#N/A</v>
      </c>
      <c r="BO12" s="25" t="str">
        <f t="shared" si="5"/>
        <v>#REF!</v>
      </c>
      <c r="BP12" s="25" t="str">
        <f t="shared" si="6"/>
        <v>#N/A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 t="shared" si="7"/>
        <v>#REF!</v>
      </c>
      <c r="AV13" s="25" t="str">
        <f t="shared" si="8"/>
        <v>#REF!</v>
      </c>
      <c r="BM13" s="25" t="str">
        <f t="shared" si="3"/>
        <v>#REF!</v>
      </c>
      <c r="BN13" s="25" t="str">
        <f t="shared" si="4"/>
        <v>#N/A</v>
      </c>
      <c r="BO13" s="25" t="str">
        <f t="shared" si="5"/>
        <v>#REF!</v>
      </c>
      <c r="BP13" s="25" t="str">
        <f t="shared" si="6"/>
        <v>#N/A</v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 t="shared" si="7"/>
        <v>#REF!</v>
      </c>
      <c r="AV14" s="25" t="str">
        <f t="shared" si="8"/>
        <v>#REF!</v>
      </c>
      <c r="BM14" s="25" t="str">
        <f t="shared" si="3"/>
        <v>#REF!</v>
      </c>
      <c r="BN14" s="25" t="str">
        <f t="shared" si="4"/>
        <v>#N/A</v>
      </c>
      <c r="BO14" s="25" t="str">
        <f t="shared" si="5"/>
        <v>#REF!</v>
      </c>
      <c r="BP14" s="25" t="str">
        <f t="shared" si="6"/>
        <v>#N/A</v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 t="shared" si="7"/>
        <v>#REF!</v>
      </c>
      <c r="AV15" s="25" t="str">
        <f t="shared" si="8"/>
        <v>#REF!</v>
      </c>
      <c r="BM15" s="25" t="str">
        <f t="shared" si="3"/>
        <v>#REF!</v>
      </c>
      <c r="BN15" s="25" t="str">
        <f t="shared" si="4"/>
        <v>#N/A</v>
      </c>
      <c r="BO15" s="25" t="str">
        <f t="shared" si="5"/>
        <v>#REF!</v>
      </c>
      <c r="BP15" s="25" t="str">
        <f t="shared" si="6"/>
        <v>#N/A</v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 t="shared" si="7"/>
        <v>#REF!</v>
      </c>
      <c r="AV16" s="25" t="str">
        <f t="shared" si="8"/>
        <v>#REF!</v>
      </c>
      <c r="BM16" s="25" t="str">
        <f t="shared" si="3"/>
        <v>#REF!</v>
      </c>
      <c r="BN16" s="25" t="str">
        <f t="shared" si="4"/>
        <v>#N/A</v>
      </c>
      <c r="BO16" s="25" t="str">
        <f t="shared" si="5"/>
        <v>#REF!</v>
      </c>
      <c r="BP16" s="25" t="str">
        <f t="shared" si="6"/>
        <v>#N/A</v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 t="shared" si="7"/>
        <v>#REF!</v>
      </c>
      <c r="AV17" s="25" t="str">
        <f t="shared" si="8"/>
        <v>#REF!</v>
      </c>
      <c r="BM17" s="25" t="str">
        <f t="shared" si="3"/>
        <v>#REF!</v>
      </c>
      <c r="BN17" s="25" t="str">
        <f t="shared" si="4"/>
        <v>#N/A</v>
      </c>
      <c r="BO17" s="25" t="str">
        <f t="shared" si="5"/>
        <v>#REF!</v>
      </c>
      <c r="BP17" s="25" t="str">
        <f t="shared" si="6"/>
        <v>#N/A</v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 t="shared" si="7"/>
        <v>#REF!</v>
      </c>
      <c r="AV18" s="25" t="str">
        <f t="shared" si="8"/>
        <v>#REF!</v>
      </c>
      <c r="BM18" s="25" t="str">
        <f t="shared" si="3"/>
        <v>#REF!</v>
      </c>
      <c r="BN18" s="25" t="str">
        <f t="shared" si="4"/>
        <v>#N/A</v>
      </c>
      <c r="BO18" s="25" t="str">
        <f t="shared" si="5"/>
        <v>#REF!</v>
      </c>
      <c r="BP18" s="25" t="str">
        <f t="shared" si="6"/>
        <v>#N/A</v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 t="shared" si="7"/>
        <v>#REF!</v>
      </c>
      <c r="AV19" s="25" t="str">
        <f t="shared" si="8"/>
        <v>#REF!</v>
      </c>
      <c r="AZ19" s="25" t="str">
        <f t="shared" ref="AZ19:AZ20" si="9">'Настройка'!B21</f>
        <v>#REF!</v>
      </c>
      <c r="BM19" s="25" t="str">
        <f t="shared" si="3"/>
        <v>#REF!</v>
      </c>
      <c r="BN19" s="25" t="str">
        <f t="shared" si="4"/>
        <v>#N/A</v>
      </c>
      <c r="BO19" s="25" t="str">
        <f t="shared" si="5"/>
        <v>#REF!</v>
      </c>
      <c r="BP19" s="25" t="str">
        <f t="shared" si="6"/>
        <v>#N/A</v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 t="shared" si="7"/>
        <v>#REF!</v>
      </c>
      <c r="AV20" s="25" t="str">
        <f t="shared" si="8"/>
        <v>#REF!</v>
      </c>
      <c r="AZ20" s="25" t="str">
        <f t="shared" si="9"/>
        <v>#REF!</v>
      </c>
      <c r="BM20" s="25" t="str">
        <f t="shared" si="3"/>
        <v>#REF!</v>
      </c>
      <c r="BN20" s="25" t="str">
        <f t="shared" si="4"/>
        <v>#N/A</v>
      </c>
      <c r="BO20" s="25" t="str">
        <f t="shared" si="5"/>
        <v>#REF!</v>
      </c>
      <c r="BP20" s="25" t="str">
        <f t="shared" si="6"/>
        <v>#N/A</v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 t="shared" si="7"/>
        <v>#REF!</v>
      </c>
      <c r="AV21" s="25" t="str">
        <f t="shared" si="8"/>
        <v>#REF!</v>
      </c>
      <c r="BB21" s="60"/>
      <c r="BC21" s="60"/>
      <c r="BD21" s="60"/>
      <c r="BE21" s="60"/>
      <c r="BF21" s="60"/>
      <c r="BG21" s="60"/>
      <c r="BH21" s="60"/>
      <c r="BM21" s="25" t="str">
        <f t="shared" si="3"/>
        <v>#REF!</v>
      </c>
      <c r="BN21" s="25" t="str">
        <f t="shared" si="4"/>
        <v>#N/A</v>
      </c>
      <c r="BO21" s="25" t="str">
        <f t="shared" si="5"/>
        <v>#REF!</v>
      </c>
      <c r="BP21" s="25" t="str">
        <f t="shared" si="6"/>
        <v>#N/A</v>
      </c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 t="shared" si="7"/>
        <v>#REF!</v>
      </c>
      <c r="AV22" s="25" t="str">
        <f t="shared" si="8"/>
        <v>#REF!</v>
      </c>
      <c r="BB22" s="60"/>
      <c r="BC22" s="60"/>
      <c r="BD22" s="60"/>
      <c r="BE22" s="60"/>
      <c r="BF22" s="60"/>
      <c r="BG22" s="60"/>
      <c r="BH22" s="60"/>
      <c r="BM22" s="25" t="str">
        <f t="shared" si="3"/>
        <v>#REF!</v>
      </c>
      <c r="BN22" s="25" t="str">
        <f t="shared" si="4"/>
        <v>#N/A</v>
      </c>
      <c r="BO22" s="25" t="str">
        <f t="shared" si="5"/>
        <v>#REF!</v>
      </c>
      <c r="BP22" s="25" t="str">
        <f t="shared" si="6"/>
        <v>#N/A</v>
      </c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 t="shared" si="7"/>
        <v>#REF!</v>
      </c>
      <c r="AV23" s="25" t="str">
        <f t="shared" si="8"/>
        <v>#REF!</v>
      </c>
      <c r="BB23" s="60"/>
      <c r="BC23" s="60"/>
      <c r="BD23" s="60"/>
      <c r="BE23" s="60"/>
      <c r="BF23" s="60"/>
      <c r="BG23" s="60"/>
      <c r="BH23" s="60"/>
      <c r="BM23" s="25" t="str">
        <f t="shared" si="3"/>
        <v>#REF!</v>
      </c>
      <c r="BN23" s="25" t="str">
        <f t="shared" si="4"/>
        <v>#N/A</v>
      </c>
      <c r="BO23" s="25" t="str">
        <f t="shared" si="5"/>
        <v>#REF!</v>
      </c>
      <c r="BP23" s="25" t="str">
        <f t="shared" si="6"/>
        <v>#N/A</v>
      </c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 t="shared" si="7"/>
        <v>#REF!</v>
      </c>
      <c r="AV24" s="25" t="str">
        <f t="shared" si="8"/>
        <v>#REF!</v>
      </c>
      <c r="BB24" s="60"/>
      <c r="BC24" s="60"/>
      <c r="BD24" s="60"/>
      <c r="BE24" s="60"/>
      <c r="BF24" s="60"/>
      <c r="BG24" s="60"/>
      <c r="BH24" s="60"/>
      <c r="BM24" s="25" t="str">
        <f t="shared" si="3"/>
        <v>#REF!</v>
      </c>
      <c r="BN24" s="25" t="str">
        <f t="shared" si="4"/>
        <v>#N/A</v>
      </c>
      <c r="BO24" s="25" t="str">
        <f t="shared" si="5"/>
        <v>#REF!</v>
      </c>
      <c r="BP24" s="25" t="str">
        <f t="shared" si="6"/>
        <v>#N/A</v>
      </c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 t="shared" si="7"/>
        <v>#REF!</v>
      </c>
      <c r="AV25" s="25" t="str">
        <f t="shared" si="8"/>
        <v>#REF!</v>
      </c>
      <c r="AX25" s="60"/>
      <c r="BF25" s="60"/>
      <c r="BG25" s="60"/>
      <c r="BH25" s="60"/>
      <c r="BM25" s="25" t="str">
        <f t="shared" si="3"/>
        <v>#REF!</v>
      </c>
      <c r="BN25" s="25" t="str">
        <f t="shared" si="4"/>
        <v>#N/A</v>
      </c>
      <c r="BO25" s="25" t="str">
        <f t="shared" si="5"/>
        <v>#REF!</v>
      </c>
      <c r="BP25" s="25" t="str">
        <f t="shared" si="6"/>
        <v>#N/A</v>
      </c>
    </row>
    <row r="26" hidden="1">
      <c r="AR26" s="25" t="str">
        <f t="shared" si="7"/>
        <v>#REF!</v>
      </c>
      <c r="AV26" s="25" t="str">
        <f t="shared" si="8"/>
        <v>#REF!</v>
      </c>
      <c r="AX26" s="60"/>
      <c r="BF26" s="60"/>
      <c r="BG26" s="60"/>
      <c r="BH26" s="60"/>
      <c r="BM26" s="25" t="str">
        <f t="shared" si="3"/>
        <v>#REF!</v>
      </c>
      <c r="BN26" s="25" t="str">
        <f t="shared" si="4"/>
        <v>#N/A</v>
      </c>
      <c r="BO26" s="25" t="str">
        <f t="shared" si="5"/>
        <v>#REF!</v>
      </c>
      <c r="BP26" s="25" t="str">
        <f t="shared" si="6"/>
        <v>#N/A</v>
      </c>
    </row>
    <row r="27" hidden="1">
      <c r="AR27" s="25" t="str">
        <f t="shared" si="7"/>
        <v>#REF!</v>
      </c>
      <c r="AV27" s="25" t="str">
        <f t="shared" si="8"/>
        <v>#REF!</v>
      </c>
      <c r="AX27" s="60"/>
      <c r="BF27" s="60"/>
      <c r="BG27" s="60"/>
      <c r="BH27" s="60"/>
      <c r="BM27" s="25" t="str">
        <f t="shared" si="3"/>
        <v>#REF!</v>
      </c>
      <c r="BN27" s="25" t="str">
        <f t="shared" si="4"/>
        <v>#N/A</v>
      </c>
      <c r="BO27" s="25" t="str">
        <f t="shared" si="5"/>
        <v>#REF!</v>
      </c>
      <c r="BP27" s="25" t="str">
        <f t="shared" si="6"/>
        <v>#N/A</v>
      </c>
    </row>
    <row r="28" hidden="1">
      <c r="AR28" s="25" t="str">
        <f t="shared" si="7"/>
        <v>#REF!</v>
      </c>
      <c r="AV28" s="25" t="str">
        <f t="shared" si="8"/>
        <v>#REF!</v>
      </c>
      <c r="AX28" s="60"/>
      <c r="BF28" s="60"/>
      <c r="BG28" s="60"/>
      <c r="BH28" s="60"/>
      <c r="BM28" s="25" t="str">
        <f t="shared" si="3"/>
        <v>#REF!</v>
      </c>
      <c r="BN28" s="25" t="str">
        <f t="shared" si="4"/>
        <v>#N/A</v>
      </c>
      <c r="BO28" s="25" t="str">
        <f t="shared" si="5"/>
        <v>#REF!</v>
      </c>
      <c r="BP28" s="25" t="str">
        <f t="shared" si="6"/>
        <v>#N/A</v>
      </c>
    </row>
    <row r="29" hidden="1">
      <c r="AR29" s="25" t="str">
        <f t="shared" si="7"/>
        <v>#REF!</v>
      </c>
      <c r="AV29" s="25" t="str">
        <f t="shared" si="8"/>
        <v>#REF!</v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M29" s="25" t="str">
        <f t="shared" si="3"/>
        <v>#REF!</v>
      </c>
      <c r="BN29" s="25" t="str">
        <f t="shared" si="4"/>
        <v>#N/A</v>
      </c>
      <c r="BO29" s="25" t="str">
        <f t="shared" si="5"/>
        <v>#REF!</v>
      </c>
      <c r="BP29" s="25" t="str">
        <f t="shared" si="6"/>
        <v>#N/A</v>
      </c>
    </row>
    <row r="30" hidden="1">
      <c r="AR30" s="25" t="str">
        <f t="shared" si="7"/>
        <v>#REF!</v>
      </c>
      <c r="AV30" s="25" t="str">
        <f t="shared" si="8"/>
        <v>#REF!</v>
      </c>
      <c r="AZ30" s="25" t="str">
        <f t="shared" ref="AZ30:AZ35" si="10">'Настройка'!B32</f>
        <v>#REF!</v>
      </c>
      <c r="BM30" s="25" t="str">
        <f t="shared" si="3"/>
        <v>#REF!</v>
      </c>
      <c r="BN30" s="25" t="str">
        <f t="shared" si="4"/>
        <v>#N/A</v>
      </c>
      <c r="BO30" s="25" t="str">
        <f t="shared" si="5"/>
        <v>#REF!</v>
      </c>
      <c r="BP30" s="25" t="str">
        <f t="shared" si="6"/>
        <v>#N/A</v>
      </c>
    </row>
    <row r="31" hidden="1">
      <c r="AR31" s="25" t="str">
        <f t="shared" si="7"/>
        <v>#REF!</v>
      </c>
      <c r="AV31" s="25" t="str">
        <f t="shared" si="8"/>
        <v>#REF!</v>
      </c>
      <c r="AZ31" s="25" t="str">
        <f t="shared" si="10"/>
        <v>#REF!</v>
      </c>
      <c r="BM31" s="25" t="str">
        <f t="shared" si="3"/>
        <v>#REF!</v>
      </c>
      <c r="BN31" s="25" t="str">
        <f t="shared" si="4"/>
        <v>#N/A</v>
      </c>
      <c r="BO31" s="25" t="str">
        <f t="shared" si="5"/>
        <v>#REF!</v>
      </c>
      <c r="BP31" s="25" t="str">
        <f t="shared" si="6"/>
        <v>#N/A</v>
      </c>
    </row>
    <row r="32" hidden="1">
      <c r="AR32" s="25" t="str">
        <f t="shared" si="7"/>
        <v>#REF!</v>
      </c>
      <c r="AV32" s="25" t="str">
        <f t="shared" si="8"/>
        <v>#REF!</v>
      </c>
      <c r="AZ32" s="25" t="str">
        <f t="shared" si="10"/>
        <v>#REF!</v>
      </c>
      <c r="BM32" s="25" t="str">
        <f t="shared" si="3"/>
        <v>#REF!</v>
      </c>
      <c r="BN32" s="25" t="str">
        <f t="shared" si="4"/>
        <v>#N/A</v>
      </c>
      <c r="BO32" s="25" t="str">
        <f t="shared" si="5"/>
        <v>#REF!</v>
      </c>
      <c r="BP32" s="25" t="str">
        <f t="shared" si="6"/>
        <v>#N/A</v>
      </c>
    </row>
    <row r="33" hidden="1">
      <c r="AR33" s="25" t="str">
        <f t="shared" si="7"/>
        <v>#REF!</v>
      </c>
      <c r="AV33" s="25" t="str">
        <f t="shared" si="8"/>
        <v>#REF!</v>
      </c>
      <c r="AZ33" s="25" t="str">
        <f t="shared" si="10"/>
        <v>#REF!</v>
      </c>
      <c r="BL33" s="33" t="s">
        <v>93</v>
      </c>
      <c r="BM33" s="25" t="str">
        <f t="shared" ref="BM33:BM62" si="11">'Настройка'!G8</f>
        <v>#REF!</v>
      </c>
      <c r="BN33" s="25" t="str">
        <f t="shared" si="4"/>
        <v>#N/A</v>
      </c>
    </row>
    <row r="34" hidden="1">
      <c r="AR34" s="25" t="str">
        <f t="shared" si="7"/>
        <v>#REF!</v>
      </c>
      <c r="AV34" s="25" t="str">
        <f t="shared" si="8"/>
        <v>#REF!</v>
      </c>
      <c r="AZ34" s="25" t="str">
        <f t="shared" si="10"/>
        <v>#REF!</v>
      </c>
      <c r="BM34" s="25" t="str">
        <f t="shared" si="11"/>
        <v>#REF!</v>
      </c>
      <c r="BN34" s="25" t="str">
        <f t="shared" si="4"/>
        <v>#N/A</v>
      </c>
    </row>
    <row r="35" hidden="1">
      <c r="AQ35" s="24" t="s">
        <v>71</v>
      </c>
      <c r="AR35" s="25" t="str">
        <f t="shared" ref="AR35:AR64" si="12">'Настройка'!G8</f>
        <v>#REF!</v>
      </c>
      <c r="AV35" s="25" t="str">
        <f>'Настройка'!G37</f>
        <v>#REF!</v>
      </c>
      <c r="AZ35" s="25" t="str">
        <f t="shared" si="10"/>
        <v>#REF!</v>
      </c>
      <c r="BM35" s="25" t="str">
        <f t="shared" si="11"/>
        <v>#REF!</v>
      </c>
      <c r="BN35" s="25" t="str">
        <f t="shared" si="4"/>
        <v>#N/A</v>
      </c>
    </row>
    <row r="36" hidden="1">
      <c r="AR36" s="25" t="str">
        <f t="shared" si="12"/>
        <v>#REF!</v>
      </c>
      <c r="BM36" s="25" t="str">
        <f t="shared" si="11"/>
        <v>#REF!</v>
      </c>
      <c r="BN36" s="25" t="str">
        <f t="shared" si="4"/>
        <v>#N/A</v>
      </c>
    </row>
    <row r="37" hidden="1">
      <c r="AR37" s="25" t="str">
        <f t="shared" si="12"/>
        <v>#REF!</v>
      </c>
      <c r="BM37" s="25" t="str">
        <f t="shared" si="11"/>
        <v>#REF!</v>
      </c>
      <c r="BN37" s="25" t="str">
        <f t="shared" si="4"/>
        <v>#N/A</v>
      </c>
    </row>
    <row r="38" hidden="1">
      <c r="AR38" s="25" t="str">
        <f t="shared" si="12"/>
        <v>#REF!</v>
      </c>
      <c r="BM38" s="25" t="str">
        <f t="shared" si="11"/>
        <v>#REF!</v>
      </c>
    </row>
    <row r="39" hidden="1">
      <c r="AR39" s="25" t="str">
        <f t="shared" si="12"/>
        <v>#REF!</v>
      </c>
      <c r="BM39" s="25" t="str">
        <f t="shared" si="11"/>
        <v>#REF!</v>
      </c>
    </row>
    <row r="40" hidden="1">
      <c r="AR40" s="25" t="str">
        <f t="shared" si="12"/>
        <v>#REF!</v>
      </c>
      <c r="BM40" s="25" t="str">
        <f t="shared" si="11"/>
        <v>#REF!</v>
      </c>
    </row>
    <row r="41" hidden="1">
      <c r="AR41" s="25" t="str">
        <f t="shared" si="12"/>
        <v>#REF!</v>
      </c>
      <c r="BM41" s="25" t="str">
        <f t="shared" si="11"/>
        <v>#REF!</v>
      </c>
    </row>
    <row r="42" hidden="1">
      <c r="AR42" s="25" t="str">
        <f t="shared" si="12"/>
        <v>#REF!</v>
      </c>
      <c r="BM42" s="25" t="str">
        <f t="shared" si="11"/>
        <v>#REF!</v>
      </c>
    </row>
    <row r="43" hidden="1">
      <c r="AR43" s="25" t="str">
        <f t="shared" si="12"/>
        <v>#REF!</v>
      </c>
      <c r="BM43" s="25" t="str">
        <f t="shared" si="11"/>
        <v>#REF!</v>
      </c>
    </row>
    <row r="44" hidden="1">
      <c r="AR44" s="25" t="str">
        <f t="shared" si="12"/>
        <v>#REF!</v>
      </c>
      <c r="AW44" s="33"/>
      <c r="AX44" s="33"/>
      <c r="AY44" s="33"/>
      <c r="AZ44" s="33"/>
      <c r="BA44" s="33"/>
      <c r="BB44" s="33"/>
      <c r="BC44" s="33"/>
      <c r="BD44" s="33"/>
      <c r="BE44" s="33"/>
      <c r="BM44" s="25" t="str">
        <f t="shared" si="11"/>
        <v>#REF!</v>
      </c>
    </row>
    <row r="45" hidden="1">
      <c r="AR45" s="25" t="str">
        <f t="shared" si="12"/>
        <v>#REF!</v>
      </c>
      <c r="AW45" s="33"/>
      <c r="AX45" s="33"/>
      <c r="AY45" s="33"/>
      <c r="AZ45" s="33"/>
      <c r="BA45" s="33"/>
      <c r="BB45" s="33"/>
      <c r="BC45" s="33"/>
      <c r="BD45" s="33"/>
      <c r="BE45" s="33"/>
      <c r="BM45" s="25" t="str">
        <f t="shared" si="11"/>
        <v>#REF!</v>
      </c>
    </row>
    <row r="46" hidden="1">
      <c r="AR46" s="25" t="str">
        <f t="shared" si="12"/>
        <v>#REF!</v>
      </c>
      <c r="AX46" s="33"/>
      <c r="AY46" s="33"/>
      <c r="AZ46" s="33"/>
      <c r="BA46" s="33"/>
      <c r="BB46" s="33"/>
      <c r="BC46" s="33"/>
      <c r="BD46" s="33"/>
      <c r="BE46" s="33"/>
      <c r="BM46" s="25" t="str">
        <f t="shared" si="11"/>
        <v>#REF!</v>
      </c>
    </row>
    <row r="47" hidden="1">
      <c r="AR47" s="25" t="str">
        <f t="shared" si="12"/>
        <v>#REF!</v>
      </c>
      <c r="AX47" s="33"/>
      <c r="AY47" s="33"/>
      <c r="AZ47" s="33"/>
      <c r="BA47" s="33"/>
      <c r="BB47" s="33"/>
      <c r="BC47" s="33"/>
      <c r="BD47" s="33"/>
      <c r="BE47" s="33"/>
      <c r="BM47" s="25" t="str">
        <f t="shared" si="11"/>
        <v>#REF!</v>
      </c>
    </row>
    <row r="48" hidden="1">
      <c r="AR48" s="25" t="str">
        <f t="shared" si="12"/>
        <v>#REF!</v>
      </c>
      <c r="AX48" s="33"/>
      <c r="AY48" s="33"/>
      <c r="AZ48" s="33"/>
      <c r="BA48" s="33"/>
      <c r="BB48" s="33"/>
      <c r="BC48" s="33"/>
      <c r="BD48" s="33"/>
      <c r="BE48" s="33"/>
      <c r="BM48" s="25" t="str">
        <f t="shared" si="11"/>
        <v>#REF!</v>
      </c>
    </row>
    <row r="49" hidden="1">
      <c r="AR49" s="25" t="str">
        <f t="shared" si="12"/>
        <v>#REF!</v>
      </c>
      <c r="AX49" s="33"/>
      <c r="AY49" s="33"/>
      <c r="AZ49" s="33"/>
      <c r="BA49" s="33"/>
      <c r="BB49" s="33"/>
      <c r="BC49" s="33"/>
      <c r="BD49" s="33"/>
      <c r="BE49" s="33"/>
      <c r="BM49" s="25" t="str">
        <f t="shared" si="11"/>
        <v>#REF!</v>
      </c>
    </row>
    <row r="50" hidden="1">
      <c r="AR50" s="25" t="str">
        <f t="shared" si="12"/>
        <v>#REF!</v>
      </c>
      <c r="AX50" s="33"/>
      <c r="AY50" s="33"/>
      <c r="AZ50" s="33"/>
      <c r="BA50" s="33"/>
      <c r="BB50" s="33"/>
      <c r="BC50" s="33"/>
      <c r="BD50" s="33"/>
      <c r="BE50" s="33"/>
      <c r="BM50" s="25" t="str">
        <f t="shared" si="11"/>
        <v>#REF!</v>
      </c>
    </row>
    <row r="51" hidden="1">
      <c r="AR51" s="25" t="str">
        <f t="shared" si="12"/>
        <v>#REF!</v>
      </c>
      <c r="AX51" s="33"/>
      <c r="AY51" s="33"/>
      <c r="AZ51" s="33"/>
      <c r="BA51" s="33"/>
      <c r="BB51" s="33"/>
      <c r="BC51" s="33"/>
      <c r="BD51" s="33"/>
      <c r="BE51" s="33"/>
      <c r="BM51" s="25" t="str">
        <f t="shared" si="11"/>
        <v>#REF!</v>
      </c>
    </row>
    <row r="52" hidden="1">
      <c r="AR52" s="25" t="str">
        <f t="shared" si="12"/>
        <v>#REF!</v>
      </c>
      <c r="AX52" s="33"/>
      <c r="AY52" s="33"/>
      <c r="AZ52" s="33"/>
      <c r="BA52" s="33"/>
      <c r="BB52" s="33"/>
      <c r="BC52" s="33"/>
      <c r="BD52" s="33"/>
      <c r="BE52" s="33"/>
      <c r="BM52" s="25" t="str">
        <f t="shared" si="11"/>
        <v>#REF!</v>
      </c>
    </row>
    <row r="53" hidden="1">
      <c r="AR53" s="25" t="str">
        <f t="shared" si="12"/>
        <v>#REF!</v>
      </c>
      <c r="AX53" s="33"/>
      <c r="AY53" s="33"/>
      <c r="AZ53" s="33"/>
      <c r="BA53" s="33"/>
      <c r="BB53" s="33"/>
      <c r="BC53" s="33"/>
      <c r="BD53" s="33"/>
      <c r="BE53" s="33"/>
      <c r="BM53" s="25" t="str">
        <f t="shared" si="11"/>
        <v>#REF!</v>
      </c>
    </row>
    <row r="54" hidden="1">
      <c r="AR54" s="25" t="str">
        <f t="shared" si="12"/>
        <v>#REF!</v>
      </c>
      <c r="AX54" s="33"/>
      <c r="AY54" s="33"/>
      <c r="AZ54" s="33"/>
      <c r="BA54" s="33"/>
      <c r="BB54" s="33"/>
      <c r="BC54" s="33"/>
      <c r="BD54" s="33"/>
      <c r="BE54" s="33"/>
      <c r="BM54" s="25" t="str">
        <f t="shared" si="11"/>
        <v>#REF!</v>
      </c>
    </row>
    <row r="55" hidden="1">
      <c r="AR55" s="25" t="str">
        <f t="shared" si="12"/>
        <v>#REF!</v>
      </c>
      <c r="AX55" s="33"/>
      <c r="AY55" s="33"/>
      <c r="AZ55" s="33"/>
      <c r="BA55" s="33"/>
      <c r="BB55" s="33"/>
      <c r="BC55" s="33"/>
      <c r="BD55" s="33"/>
      <c r="BE55" s="33"/>
      <c r="BM55" s="25" t="str">
        <f t="shared" si="11"/>
        <v>#REF!</v>
      </c>
    </row>
    <row r="56" hidden="1">
      <c r="AR56" s="25" t="str">
        <f t="shared" si="12"/>
        <v>#REF!</v>
      </c>
      <c r="AX56" s="33"/>
      <c r="AY56" s="33"/>
      <c r="AZ56" s="33"/>
      <c r="BA56" s="33"/>
      <c r="BB56" s="33"/>
      <c r="BC56" s="33"/>
      <c r="BD56" s="33"/>
      <c r="BE56" s="33"/>
      <c r="BM56" s="25" t="str">
        <f t="shared" si="11"/>
        <v>#REF!</v>
      </c>
    </row>
    <row r="57" hidden="1">
      <c r="AR57" s="25" t="str">
        <f t="shared" si="12"/>
        <v>#REF!</v>
      </c>
      <c r="AX57" s="33"/>
      <c r="AY57" s="33"/>
      <c r="AZ57" s="33"/>
      <c r="BA57" s="33"/>
      <c r="BB57" s="33"/>
      <c r="BC57" s="33"/>
      <c r="BD57" s="33"/>
      <c r="BE57" s="33"/>
      <c r="BM57" s="25" t="str">
        <f t="shared" si="11"/>
        <v>#REF!</v>
      </c>
    </row>
    <row r="58" hidden="1">
      <c r="AR58" s="25" t="str">
        <f t="shared" si="12"/>
        <v>#REF!</v>
      </c>
      <c r="AX58" s="33"/>
      <c r="AY58" s="33"/>
      <c r="AZ58" s="33"/>
      <c r="BA58" s="33"/>
      <c r="BB58" s="33"/>
      <c r="BC58" s="33"/>
      <c r="BD58" s="33"/>
      <c r="BE58" s="33"/>
      <c r="BM58" s="25" t="str">
        <f t="shared" si="11"/>
        <v>#REF!</v>
      </c>
    </row>
    <row r="59" hidden="1">
      <c r="AR59" s="25" t="str">
        <f t="shared" si="12"/>
        <v>#REF!</v>
      </c>
      <c r="AX59" s="33"/>
      <c r="AY59" s="33"/>
      <c r="AZ59" s="33"/>
      <c r="BA59" s="33"/>
      <c r="BB59" s="33"/>
      <c r="BC59" s="33"/>
      <c r="BD59" s="33"/>
      <c r="BE59" s="33"/>
      <c r="BM59" s="25" t="str">
        <f t="shared" si="11"/>
        <v>#REF!</v>
      </c>
    </row>
    <row r="60" hidden="1">
      <c r="AR60" s="25" t="str">
        <f t="shared" si="12"/>
        <v>#REF!</v>
      </c>
      <c r="AX60" s="33"/>
      <c r="AY60" s="33"/>
      <c r="AZ60" s="33"/>
      <c r="BA60" s="33"/>
      <c r="BB60" s="33"/>
      <c r="BC60" s="33"/>
      <c r="BD60" s="33"/>
      <c r="BE60" s="33"/>
      <c r="BM60" s="25" t="str">
        <f t="shared" si="11"/>
        <v>#REF!</v>
      </c>
    </row>
    <row r="61" hidden="1">
      <c r="AR61" s="25" t="str">
        <f t="shared" si="12"/>
        <v>#REF!</v>
      </c>
      <c r="AX61" s="33"/>
      <c r="AY61" s="33"/>
      <c r="AZ61" s="33"/>
      <c r="BA61" s="33"/>
      <c r="BB61" s="33"/>
      <c r="BC61" s="33"/>
      <c r="BD61" s="33"/>
      <c r="BE61" s="33"/>
      <c r="BM61" s="25" t="str">
        <f t="shared" si="11"/>
        <v>#REF!</v>
      </c>
    </row>
    <row r="62" hidden="1">
      <c r="AR62" s="25" t="str">
        <f t="shared" si="12"/>
        <v>#REF!</v>
      </c>
      <c r="AX62" s="33"/>
      <c r="AY62" s="33"/>
      <c r="AZ62" s="33"/>
      <c r="BA62" s="33"/>
      <c r="BB62" s="33"/>
      <c r="BC62" s="33"/>
      <c r="BD62" s="33"/>
      <c r="BE62" s="33"/>
      <c r="BM62" s="25" t="str">
        <f t="shared" si="11"/>
        <v>#REF!</v>
      </c>
    </row>
    <row r="63" hidden="1">
      <c r="AR63" s="25" t="str">
        <f t="shared" si="12"/>
        <v>#REF!</v>
      </c>
      <c r="AX63" s="33"/>
      <c r="AY63" s="33"/>
      <c r="AZ63" s="33"/>
      <c r="BA63" s="33"/>
      <c r="BB63" s="33"/>
      <c r="BC63" s="33"/>
      <c r="BD63" s="33"/>
      <c r="BE63" s="33"/>
    </row>
    <row r="64" hidden="1">
      <c r="AR64" s="25" t="str">
        <f t="shared" si="12"/>
        <v>#REF!</v>
      </c>
      <c r="AX64" s="33"/>
      <c r="AY64" s="33"/>
      <c r="AZ64" s="33"/>
      <c r="BA64" s="33"/>
      <c r="BB64" s="33"/>
      <c r="BC64" s="33"/>
      <c r="BD64" s="33"/>
      <c r="BE64" s="33"/>
    </row>
    <row r="65" hidden="1">
      <c r="AX65" s="33"/>
      <c r="AY65" s="33"/>
      <c r="AZ65" s="33"/>
      <c r="BA65" s="33"/>
      <c r="BB65" s="33"/>
      <c r="BC65" s="33"/>
      <c r="BD65" s="33"/>
      <c r="BE65" s="33"/>
    </row>
    <row r="66" hidden="1">
      <c r="AX66" s="33"/>
      <c r="AY66" s="33"/>
      <c r="AZ66" s="33"/>
      <c r="BA66" s="33"/>
      <c r="BB66" s="33"/>
      <c r="BC66" s="33"/>
      <c r="BD66" s="33"/>
      <c r="BE66" s="33"/>
    </row>
    <row r="67" hidden="1">
      <c r="AX67" s="33"/>
      <c r="AY67" s="33"/>
      <c r="AZ67" s="33"/>
      <c r="BA67" s="33"/>
      <c r="BB67" s="33"/>
      <c r="BC67" s="33"/>
      <c r="BD67" s="33"/>
      <c r="BE67" s="33"/>
    </row>
    <row r="68" hidden="1">
      <c r="AX68" s="33"/>
      <c r="AY68" s="33"/>
      <c r="AZ68" s="33"/>
      <c r="BA68" s="33"/>
      <c r="BB68" s="33"/>
      <c r="BC68" s="33"/>
      <c r="BD68" s="33"/>
      <c r="BE68" s="33"/>
    </row>
    <row r="69" hidden="1">
      <c r="AX69" s="33"/>
      <c r="AY69" s="33"/>
      <c r="AZ69" s="33"/>
      <c r="BA69" s="33"/>
      <c r="BB69" s="33"/>
      <c r="BC69" s="33"/>
      <c r="BD69" s="33"/>
      <c r="BE69" s="33"/>
    </row>
    <row r="70" hidden="1">
      <c r="AX70" s="33"/>
      <c r="AY70" s="33"/>
      <c r="AZ70" s="33"/>
      <c r="BA70" s="33"/>
      <c r="BB70" s="33"/>
      <c r="BC70" s="33"/>
      <c r="BD70" s="33"/>
      <c r="BE70" s="33"/>
    </row>
    <row r="71" hidden="1">
      <c r="AX71" s="33"/>
      <c r="AY71" s="33"/>
      <c r="AZ71" s="33"/>
      <c r="BA71" s="33"/>
      <c r="BB71" s="33"/>
      <c r="BC71" s="33"/>
      <c r="BD71" s="33"/>
      <c r="BE71" s="33"/>
    </row>
    <row r="72" hidden="1">
      <c r="AX72" s="33"/>
      <c r="AY72" s="33"/>
      <c r="AZ72" s="33"/>
      <c r="BA72" s="33"/>
      <c r="BB72" s="33"/>
      <c r="BC72" s="33"/>
      <c r="BD72" s="33"/>
      <c r="BE72" s="33"/>
    </row>
    <row r="73" hidden="1">
      <c r="AX73" s="33"/>
      <c r="AY73" s="33"/>
      <c r="AZ73" s="33"/>
      <c r="BA73" s="33"/>
      <c r="BB73" s="33"/>
      <c r="BC73" s="33"/>
      <c r="BD73" s="33"/>
      <c r="BE73" s="33"/>
    </row>
    <row r="74" hidden="1">
      <c r="AX74" s="33"/>
      <c r="AY74" s="33"/>
      <c r="AZ74" s="33"/>
      <c r="BA74" s="33"/>
      <c r="BB74" s="33"/>
      <c r="BC74" s="33"/>
      <c r="BD74" s="33"/>
      <c r="BE74" s="33"/>
    </row>
    <row r="75" hidden="1">
      <c r="AX75" s="33"/>
      <c r="AY75" s="33"/>
      <c r="AZ75" s="33"/>
      <c r="BA75" s="33"/>
      <c r="BB75" s="33"/>
      <c r="BC75" s="33"/>
      <c r="BD75" s="33"/>
      <c r="BE75" s="33"/>
    </row>
    <row r="76" hidden="1">
      <c r="AX76" s="33"/>
      <c r="AY76" s="33"/>
      <c r="AZ76" s="33"/>
      <c r="BA76" s="33"/>
      <c r="BB76" s="33"/>
      <c r="BC76" s="33"/>
      <c r="BD76" s="33"/>
      <c r="BE76" s="33"/>
    </row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>
      <c r="B111" s="76"/>
      <c r="C111" s="76"/>
      <c r="D111" s="76"/>
      <c r="J111" s="77"/>
      <c r="K111" s="77"/>
      <c r="L111" s="77"/>
      <c r="T111" s="76"/>
      <c r="U111" s="76"/>
      <c r="V111" s="76"/>
      <c r="AB111" s="77"/>
      <c r="AC111" s="77"/>
      <c r="AD111" s="77"/>
    </row>
    <row r="112" hidden="1">
      <c r="B112" s="76"/>
      <c r="C112" s="76"/>
      <c r="D112" s="76"/>
      <c r="J112" s="77"/>
      <c r="K112" s="77"/>
      <c r="L112" s="77"/>
      <c r="T112" s="76"/>
      <c r="U112" s="76"/>
      <c r="V112" s="76"/>
      <c r="AB112" s="77"/>
      <c r="AC112" s="77"/>
      <c r="AD112" s="77"/>
    </row>
    <row r="113" hidden="1">
      <c r="B113" s="76"/>
      <c r="C113" s="76"/>
      <c r="D113" s="76"/>
      <c r="J113" s="77"/>
      <c r="K113" s="77"/>
      <c r="L113" s="77"/>
      <c r="T113" s="76"/>
      <c r="U113" s="76"/>
      <c r="V113" s="76"/>
      <c r="AB113" s="77"/>
      <c r="AC113" s="77"/>
      <c r="AD113" s="77"/>
    </row>
    <row r="114" hidden="1">
      <c r="B114" s="76"/>
      <c r="C114" s="76"/>
      <c r="D114" s="76"/>
      <c r="J114" s="77"/>
      <c r="K114" s="77"/>
      <c r="L114" s="77"/>
      <c r="T114" s="76"/>
      <c r="U114" s="76"/>
      <c r="V114" s="76"/>
      <c r="AB114" s="77"/>
      <c r="AC114" s="77"/>
      <c r="AD114" s="77"/>
    </row>
    <row r="115" hidden="1">
      <c r="B115" s="76"/>
      <c r="C115" s="76"/>
      <c r="D115" s="76"/>
      <c r="J115" s="77"/>
      <c r="K115" s="77"/>
      <c r="L115" s="77"/>
      <c r="T115" s="76"/>
      <c r="U115" s="76"/>
      <c r="V115" s="76"/>
      <c r="AB115" s="77"/>
      <c r="AC115" s="77"/>
      <c r="AD115" s="77"/>
    </row>
    <row r="116" hidden="1">
      <c r="B116" s="76"/>
      <c r="C116" s="76"/>
      <c r="D116" s="76"/>
      <c r="J116" s="77"/>
      <c r="K116" s="77"/>
      <c r="L116" s="77"/>
      <c r="T116" s="76"/>
      <c r="U116" s="76"/>
      <c r="V116" s="76"/>
      <c r="AB116" s="77"/>
      <c r="AC116" s="77"/>
      <c r="AD116" s="77"/>
    </row>
    <row r="117" hidden="1">
      <c r="B117" s="76"/>
      <c r="C117" s="76"/>
      <c r="D117" s="76"/>
      <c r="J117" s="77"/>
      <c r="K117" s="77"/>
      <c r="L117" s="77"/>
      <c r="T117" s="76"/>
      <c r="U117" s="76"/>
      <c r="V117" s="76"/>
      <c r="AB117" s="77"/>
      <c r="AC117" s="77"/>
      <c r="AD117" s="77"/>
    </row>
    <row r="118" hidden="1">
      <c r="B118" s="76"/>
      <c r="C118" s="76"/>
      <c r="D118" s="76"/>
      <c r="J118" s="77"/>
      <c r="K118" s="77"/>
      <c r="L118" s="77"/>
      <c r="T118" s="76"/>
      <c r="U118" s="76"/>
      <c r="V118" s="76"/>
      <c r="AB118" s="77"/>
      <c r="AC118" s="77"/>
      <c r="AD118" s="77"/>
    </row>
    <row r="119" hidden="1">
      <c r="B119" s="76"/>
      <c r="C119" s="76"/>
      <c r="D119" s="76"/>
      <c r="J119" s="77"/>
      <c r="K119" s="77"/>
      <c r="L119" s="77"/>
      <c r="T119" s="76"/>
      <c r="U119" s="76"/>
      <c r="V119" s="76"/>
      <c r="AB119" s="77"/>
      <c r="AC119" s="77"/>
      <c r="AD119" s="77"/>
    </row>
    <row r="120" hidden="1">
      <c r="B120" s="76"/>
      <c r="C120" s="76"/>
      <c r="D120" s="76"/>
      <c r="J120" s="77"/>
      <c r="K120" s="77"/>
      <c r="L120" s="77"/>
      <c r="T120" s="76"/>
      <c r="U120" s="76"/>
      <c r="V120" s="76"/>
      <c r="AB120" s="77"/>
      <c r="AC120" s="77"/>
      <c r="AD120" s="77"/>
    </row>
    <row r="121" hidden="1">
      <c r="B121" s="76"/>
      <c r="C121" s="76"/>
      <c r="D121" s="76"/>
      <c r="J121" s="77"/>
      <c r="K121" s="77"/>
      <c r="L121" s="77"/>
      <c r="T121" s="76"/>
      <c r="U121" s="76"/>
      <c r="V121" s="76"/>
      <c r="AB121" s="77"/>
      <c r="AC121" s="77"/>
      <c r="AD121" s="77"/>
    </row>
    <row r="122" hidden="1">
      <c r="B122" s="76"/>
      <c r="C122" s="76"/>
      <c r="D122" s="76"/>
      <c r="J122" s="77"/>
      <c r="K122" s="77"/>
      <c r="L122" s="77"/>
      <c r="T122" s="76"/>
      <c r="U122" s="76"/>
      <c r="V122" s="76"/>
      <c r="AB122" s="77"/>
      <c r="AC122" s="77"/>
      <c r="AD122" s="77"/>
    </row>
    <row r="123" hidden="1">
      <c r="B123" s="76"/>
      <c r="C123" s="76"/>
      <c r="D123" s="76"/>
      <c r="J123" s="77"/>
      <c r="K123" s="77"/>
      <c r="L123" s="77"/>
      <c r="T123" s="76"/>
      <c r="U123" s="76"/>
      <c r="V123" s="76"/>
      <c r="AB123" s="77"/>
      <c r="AC123" s="77"/>
      <c r="AD123" s="77"/>
    </row>
    <row r="124" hidden="1">
      <c r="B124" s="76"/>
      <c r="C124" s="76"/>
      <c r="D124" s="76"/>
      <c r="J124" s="77"/>
      <c r="K124" s="77"/>
      <c r="L124" s="77"/>
      <c r="T124" s="76"/>
      <c r="U124" s="76"/>
      <c r="V124" s="76"/>
      <c r="AB124" s="77"/>
      <c r="AC124" s="77"/>
      <c r="AD124" s="77"/>
    </row>
    <row r="125" hidden="1">
      <c r="B125" s="76"/>
      <c r="C125" s="76"/>
      <c r="D125" s="76"/>
      <c r="J125" s="77"/>
      <c r="K125" s="77"/>
      <c r="L125" s="77"/>
      <c r="T125" s="76"/>
      <c r="U125" s="76"/>
      <c r="V125" s="76"/>
      <c r="AB125" s="77"/>
      <c r="AC125" s="77"/>
      <c r="AD125" s="77"/>
    </row>
    <row r="126" hidden="1">
      <c r="B126" s="76"/>
      <c r="C126" s="76"/>
      <c r="D126" s="76"/>
      <c r="J126" s="77"/>
      <c r="K126" s="77"/>
      <c r="L126" s="77"/>
      <c r="T126" s="76"/>
      <c r="U126" s="76"/>
      <c r="V126" s="76"/>
      <c r="AB126" s="77"/>
      <c r="AC126" s="77"/>
      <c r="AD126" s="77"/>
    </row>
    <row r="127" hidden="1">
      <c r="B127" s="76"/>
      <c r="C127" s="76"/>
      <c r="D127" s="76"/>
      <c r="J127" s="77"/>
      <c r="K127" s="77"/>
      <c r="L127" s="77"/>
      <c r="T127" s="76"/>
      <c r="U127" s="76"/>
      <c r="V127" s="76"/>
      <c r="AB127" s="77"/>
      <c r="AC127" s="77"/>
      <c r="AD127" s="77"/>
    </row>
    <row r="128" hidden="1">
      <c r="B128" s="76"/>
      <c r="C128" s="76"/>
      <c r="D128" s="76"/>
      <c r="J128" s="77"/>
      <c r="K128" s="77"/>
      <c r="L128" s="77"/>
      <c r="T128" s="76"/>
      <c r="U128" s="76"/>
      <c r="V128" s="76"/>
      <c r="AB128" s="77"/>
      <c r="AC128" s="77"/>
      <c r="AD128" s="77"/>
    </row>
    <row r="129" hidden="1">
      <c r="B129" s="76"/>
      <c r="C129" s="76"/>
      <c r="D129" s="76"/>
      <c r="J129" s="77"/>
      <c r="K129" s="77"/>
      <c r="L129" s="77"/>
      <c r="T129" s="76"/>
      <c r="U129" s="76"/>
      <c r="V129" s="76"/>
      <c r="AB129" s="77"/>
      <c r="AC129" s="77"/>
      <c r="AD129" s="77"/>
    </row>
    <row r="130" hidden="1">
      <c r="B130" s="76"/>
      <c r="C130" s="76"/>
      <c r="D130" s="76"/>
      <c r="J130" s="77"/>
      <c r="K130" s="77"/>
      <c r="L130" s="77"/>
      <c r="T130" s="76"/>
      <c r="U130" s="76"/>
      <c r="V130" s="76"/>
      <c r="AB130" s="77"/>
      <c r="AC130" s="77"/>
      <c r="AD130" s="77"/>
    </row>
    <row r="131" hidden="1">
      <c r="B131" s="76"/>
      <c r="C131" s="76"/>
      <c r="D131" s="76"/>
      <c r="J131" s="77"/>
      <c r="K131" s="77"/>
      <c r="L131" s="77"/>
      <c r="T131" s="76"/>
      <c r="U131" s="76"/>
      <c r="V131" s="76"/>
      <c r="AB131" s="77"/>
      <c r="AC131" s="77"/>
      <c r="AD131" s="77"/>
    </row>
    <row r="132" hidden="1">
      <c r="B132" s="76"/>
      <c r="C132" s="76"/>
      <c r="D132" s="76"/>
      <c r="J132" s="77"/>
      <c r="K132" s="77"/>
      <c r="L132" s="77"/>
      <c r="T132" s="76"/>
      <c r="U132" s="76"/>
      <c r="V132" s="76"/>
      <c r="AB132" s="77"/>
      <c r="AC132" s="77"/>
      <c r="AD132" s="77"/>
    </row>
    <row r="133" hidden="1">
      <c r="B133" s="76"/>
      <c r="C133" s="76"/>
      <c r="D133" s="76"/>
      <c r="J133" s="77"/>
      <c r="K133" s="77"/>
      <c r="L133" s="77"/>
      <c r="T133" s="76"/>
      <c r="U133" s="76"/>
      <c r="V133" s="76"/>
      <c r="AB133" s="77"/>
      <c r="AC133" s="77"/>
      <c r="AD133" s="77"/>
    </row>
    <row r="134" hidden="1">
      <c r="B134" s="76"/>
      <c r="C134" s="76"/>
      <c r="D134" s="76"/>
      <c r="J134" s="77"/>
      <c r="K134" s="77"/>
      <c r="L134" s="77"/>
      <c r="T134" s="76"/>
      <c r="U134" s="76"/>
      <c r="V134" s="76"/>
      <c r="AB134" s="77"/>
      <c r="AC134" s="77"/>
      <c r="AD134" s="77"/>
    </row>
    <row r="135" hidden="1">
      <c r="B135" s="76"/>
      <c r="C135" s="76"/>
      <c r="D135" s="76"/>
      <c r="J135" s="77"/>
      <c r="K135" s="77"/>
      <c r="L135" s="77"/>
      <c r="T135" s="76"/>
      <c r="U135" s="76"/>
      <c r="V135" s="76"/>
      <c r="AB135" s="77"/>
      <c r="AC135" s="77"/>
      <c r="AD135" s="77"/>
    </row>
    <row r="136" hidden="1">
      <c r="B136" s="76"/>
      <c r="C136" s="76"/>
      <c r="D136" s="76"/>
      <c r="J136" s="77"/>
      <c r="K136" s="77"/>
      <c r="L136" s="77"/>
      <c r="T136" s="76"/>
      <c r="U136" s="76"/>
      <c r="V136" s="76"/>
      <c r="AB136" s="77"/>
      <c r="AC136" s="77"/>
      <c r="AD136" s="77"/>
    </row>
    <row r="137" hidden="1">
      <c r="B137" s="76"/>
      <c r="C137" s="76"/>
      <c r="D137" s="76"/>
      <c r="J137" s="77"/>
      <c r="K137" s="77"/>
      <c r="L137" s="77"/>
      <c r="T137" s="76"/>
      <c r="U137" s="76"/>
      <c r="V137" s="76"/>
      <c r="AB137" s="77"/>
      <c r="AC137" s="77"/>
      <c r="AD137" s="77"/>
    </row>
    <row r="138" hidden="1">
      <c r="B138" s="76"/>
      <c r="C138" s="76"/>
      <c r="D138" s="76"/>
      <c r="J138" s="77"/>
      <c r="K138" s="77"/>
      <c r="L138" s="77"/>
      <c r="T138" s="76"/>
      <c r="U138" s="76"/>
      <c r="V138" s="76"/>
      <c r="AB138" s="77"/>
      <c r="AC138" s="77"/>
      <c r="AD138" s="77"/>
    </row>
    <row r="139" hidden="1">
      <c r="B139" s="76"/>
      <c r="C139" s="76"/>
      <c r="D139" s="76"/>
      <c r="J139" s="77"/>
      <c r="K139" s="77"/>
      <c r="L139" s="77"/>
      <c r="T139" s="76"/>
      <c r="U139" s="76"/>
      <c r="V139" s="76"/>
      <c r="AB139" s="77"/>
      <c r="AC139" s="77"/>
      <c r="AD139" s="77"/>
    </row>
    <row r="140" hidden="1">
      <c r="B140" s="76"/>
      <c r="C140" s="76"/>
      <c r="D140" s="76"/>
      <c r="J140" s="77"/>
      <c r="K140" s="77"/>
      <c r="L140" s="77"/>
      <c r="T140" s="76"/>
      <c r="U140" s="76"/>
      <c r="V140" s="76"/>
      <c r="AB140" s="77"/>
      <c r="AC140" s="77"/>
      <c r="AD140" s="77"/>
    </row>
    <row r="141" hidden="1">
      <c r="B141" s="76"/>
      <c r="C141" s="76"/>
      <c r="D141" s="76"/>
      <c r="J141" s="77"/>
      <c r="K141" s="77"/>
      <c r="L141" s="77"/>
      <c r="T141" s="76"/>
      <c r="U141" s="76"/>
      <c r="V141" s="76"/>
      <c r="AB141" s="77"/>
      <c r="AC141" s="77"/>
      <c r="AD141" s="77"/>
    </row>
    <row r="142" hidden="1">
      <c r="B142" s="76"/>
      <c r="C142" s="76"/>
      <c r="D142" s="76"/>
      <c r="J142" s="77"/>
      <c r="K142" s="77"/>
      <c r="L142" s="77"/>
      <c r="T142" s="76"/>
      <c r="U142" s="76"/>
      <c r="V142" s="76"/>
      <c r="AB142" s="77"/>
      <c r="AC142" s="77"/>
      <c r="AD142" s="77"/>
    </row>
    <row r="143" hidden="1">
      <c r="B143" s="76"/>
      <c r="C143" s="76"/>
      <c r="D143" s="76"/>
      <c r="J143" s="77"/>
      <c r="K143" s="77"/>
      <c r="L143" s="77"/>
      <c r="T143" s="76"/>
      <c r="U143" s="76"/>
      <c r="V143" s="76"/>
      <c r="AB143" s="77"/>
      <c r="AC143" s="77"/>
      <c r="AD143" s="77"/>
    </row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</sheetData>
  <mergeCells count="32">
    <mergeCell ref="BA2:BE2"/>
    <mergeCell ref="BA3:BE3"/>
    <mergeCell ref="BA9:BE9"/>
    <mergeCell ref="BF3:BH3"/>
    <mergeCell ref="BI3:BK3"/>
    <mergeCell ref="S3:V3"/>
    <mergeCell ref="S4:V5"/>
    <mergeCell ref="BF2:BH2"/>
    <mergeCell ref="BA4:BE4"/>
    <mergeCell ref="BF4:BH4"/>
    <mergeCell ref="BA1:BK1"/>
    <mergeCell ref="BI2:BK2"/>
    <mergeCell ref="B3:L5"/>
    <mergeCell ref="N3:Q3"/>
    <mergeCell ref="X3:AA3"/>
    <mergeCell ref="N4:Q5"/>
    <mergeCell ref="X4:AA5"/>
    <mergeCell ref="BA7:BE7"/>
    <mergeCell ref="BF7:BK7"/>
    <mergeCell ref="B8:L8"/>
    <mergeCell ref="N8:X8"/>
    <mergeCell ref="Z8:AJ8"/>
    <mergeCell ref="BA8:BE8"/>
    <mergeCell ref="BF8:BK8"/>
    <mergeCell ref="BI4:BK4"/>
    <mergeCell ref="BA5:BE5"/>
    <mergeCell ref="BF5:BH5"/>
    <mergeCell ref="BI5:BK5"/>
    <mergeCell ref="BA6:BE6"/>
    <mergeCell ref="BF6:BH6"/>
    <mergeCell ref="BI6:BK6"/>
    <mergeCell ref="BF9:BK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94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W44:W143">
      <formula1>Jan!$AV$1:$AV$34</formula1>
    </dataValidation>
    <dataValidation type="list" allowBlank="1" showErrorMessage="1" sqref="Z28:Z39">
      <formula1>Jan!$AR$35:$AR$64</formula1>
    </dataValidation>
    <dataValidation type="list" allowBlank="1" showErrorMessage="1" sqref="E44:E143">
      <formula1>Jan!$AR$1:$AR$64</formula1>
    </dataValidation>
    <dataValidation type="list" allowBlank="1" showErrorMessage="1" sqref="B28:B39">
      <formula1>Jan!$AR$1:$AR$34</formula1>
    </dataValidation>
    <dataValidation type="list" allowBlank="1" showErrorMessage="1" sqref="N28:N39">
      <formula1>Jan!$AV$1:$AV$34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95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W44:W143">
      <formula1>Feb!$AV$1:$AV$34</formula1>
    </dataValidation>
    <dataValidation type="list" allowBlank="1" showErrorMessage="1" sqref="E44:E143">
      <formula1>Feb!$AR$1:$AR$64</formula1>
    </dataValidation>
    <dataValidation type="list" allowBlank="1" showErrorMessage="1" sqref="B28:B39">
      <formula1>Feb!$AR$1:$AR$34</formula1>
    </dataValidation>
    <dataValidation type="list" allowBlank="1" showErrorMessage="1" sqref="N28:N39">
      <formula1>Feb!$AV$1:$AV$34</formula1>
    </dataValidation>
    <dataValidation type="list" allowBlank="1" showErrorMessage="1" sqref="Z28:Z39">
      <formula1>Feb!$AR$35:$AR$64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96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Z28:Z39">
      <formula1>Mar!$AR$35:$AR$64</formula1>
    </dataValidation>
    <dataValidation type="list" allowBlank="1" showErrorMessage="1" sqref="E44:E143">
      <formula1>Mar!$AR$1:$AR$64</formula1>
    </dataValidation>
    <dataValidation type="list" allowBlank="1" showErrorMessage="1" sqref="W44:W143">
      <formula1>Mar!$AV$1:$AV$34</formula1>
    </dataValidation>
    <dataValidation type="list" allowBlank="1" showErrorMessage="1" sqref="B28:B39">
      <formula1>Mar!$AR$1:$AR$34</formula1>
    </dataValidation>
    <dataValidation type="list" allowBlank="1" showErrorMessage="1" sqref="N28:N39">
      <formula1>Mar!$AV$1:$AV$34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97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Z28:Z39">
      <formula1>Apr!$AR$35:$AR$64</formula1>
    </dataValidation>
    <dataValidation type="list" allowBlank="1" showErrorMessage="1" sqref="E44:E143">
      <formula1>Apr!$AR$1:$AR$64</formula1>
    </dataValidation>
    <dataValidation type="list" allowBlank="1" showErrorMessage="1" sqref="W44:W143">
      <formula1>Apr!$AV$1:$AV$34</formula1>
    </dataValidation>
    <dataValidation type="list" allowBlank="1" showErrorMessage="1" sqref="B28:B39">
      <formula1>Apr!$AR$1:$AR$34</formula1>
    </dataValidation>
    <dataValidation type="list" allowBlank="1" showErrorMessage="1" sqref="N28:N39">
      <formula1>Apr!$AV$1:$AV$34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98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B28:B39">
      <formula1>May!$AR$1:$AR$34</formula1>
    </dataValidation>
    <dataValidation type="list" allowBlank="1" showErrorMessage="1" sqref="N28:N39">
      <formula1>May!$AV$1:$AV$34</formula1>
    </dataValidation>
    <dataValidation type="list" allowBlank="1" showErrorMessage="1" sqref="E44:E143">
      <formula1>May!$AR$1:$AR$64</formula1>
    </dataValidation>
    <dataValidation type="list" allowBlank="1" showErrorMessage="1" sqref="W44:W143">
      <formula1>May!$AV$1:$AV$34</formula1>
    </dataValidation>
    <dataValidation type="list" allowBlank="1" showErrorMessage="1" sqref="Z28:Z39">
      <formula1>May!$AR$35:$AR$64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99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Z28:Z39">
      <formula1>Jun!$AR$35:$AR$64</formula1>
    </dataValidation>
    <dataValidation type="list" allowBlank="1" showErrorMessage="1" sqref="W44:W143">
      <formula1>Jun!$AV$1:$AV$34</formula1>
    </dataValidation>
    <dataValidation type="list" allowBlank="1" showErrorMessage="1" sqref="B28:B39">
      <formula1>Jun!$AR$1:$AR$34</formula1>
    </dataValidation>
    <dataValidation type="list" allowBlank="1" showErrorMessage="1" sqref="N28:N39">
      <formula1>Jun!$AV$1:$AV$34</formula1>
    </dataValidation>
    <dataValidation type="list" allowBlank="1" showErrorMessage="1" sqref="E44:E143">
      <formula1>Jun!$AR$1:$AR$64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100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B28:B39">
      <formula1>Jul!$AR$1:$AR$34</formula1>
    </dataValidation>
    <dataValidation type="list" allowBlank="1" showErrorMessage="1" sqref="N28:N39">
      <formula1>Jul!$AV$1:$AV$34</formula1>
    </dataValidation>
    <dataValidation type="list" allowBlank="1" showErrorMessage="1" sqref="Z28:Z39">
      <formula1>Jul!$AR$35:$AR$64</formula1>
    </dataValidation>
    <dataValidation type="list" allowBlank="1" showErrorMessage="1" sqref="W44:W143">
      <formula1>Jul!$AV$1:$AV$34</formula1>
    </dataValidation>
    <dataValidation type="list" allowBlank="1" showErrorMessage="1" sqref="E44:E143">
      <formula1>Jul!$AR$1:$AR$64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101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B28:B39">
      <formula1>Aug!$AR$1:$AR$34</formula1>
    </dataValidation>
    <dataValidation type="list" allowBlank="1" showErrorMessage="1" sqref="N28:N39">
      <formula1>Aug!$AV$1:$AV$34</formula1>
    </dataValidation>
    <dataValidation type="list" allowBlank="1" showErrorMessage="1" sqref="E44:E143">
      <formula1>Aug!$AR$1:$AR$64</formula1>
    </dataValidation>
    <dataValidation type="list" allowBlank="1" showErrorMessage="1" sqref="W44:W143">
      <formula1>Aug!$AV$1:$AV$34</formula1>
    </dataValidation>
    <dataValidation type="list" allowBlank="1" showErrorMessage="1" sqref="Z28:Z39">
      <formula1>Aug!$AR$35:$AR$64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102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B28:B39">
      <formula1>Sep!$AR$1:$AR$34</formula1>
    </dataValidation>
    <dataValidation type="list" allowBlank="1" showErrorMessage="1" sqref="N28:N39">
      <formula1>Sep!$AV$1:$AV$34</formula1>
    </dataValidation>
    <dataValidation type="list" allowBlank="1" showErrorMessage="1" sqref="W44:W143">
      <formula1>Sep!$AV$1:$AV$34</formula1>
    </dataValidation>
    <dataValidation type="list" allowBlank="1" showErrorMessage="1" sqref="Z28:Z39">
      <formula1>Sep!$AR$35:$AR$64</formula1>
    </dataValidation>
    <dataValidation type="list" allowBlank="1" showErrorMessage="1" sqref="E44:E143">
      <formula1>Sep!$AR$1:$AR$64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103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W44:W143">
      <formula1>Oct!$AV$1:$AV$34</formula1>
    </dataValidation>
    <dataValidation type="list" allowBlank="1" showErrorMessage="1" sqref="Z28:Z39">
      <formula1>Oct!$AR$35:$AR$64</formula1>
    </dataValidation>
    <dataValidation type="list" allowBlank="1" showErrorMessage="1" sqref="E44:E143">
      <formula1>Oct!$AR$1:$AR$64</formula1>
    </dataValidation>
    <dataValidation type="list" allowBlank="1" showErrorMessage="1" sqref="B28:B39">
      <formula1>Oct!$AR$1:$AR$34</formula1>
    </dataValidation>
    <dataValidation type="list" allowBlank="1" showErrorMessage="1" sqref="N28:N39">
      <formula1>Oct!$AV$1:$AV$34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59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B28:B39">
      <formula1>Nov!$AR$1:$AR$34</formula1>
    </dataValidation>
    <dataValidation type="list" allowBlank="1" showErrorMessage="1" sqref="N28:N39">
      <formula1>Nov!$AV$1:$AV$34</formula1>
    </dataValidation>
    <dataValidation type="list" allowBlank="1" showErrorMessage="1" sqref="W44:W143">
      <formula1>Nov!$AV$1:$AV$34</formula1>
    </dataValidation>
    <dataValidation type="list" allowBlank="1" showErrorMessage="1" sqref="E44:E143">
      <formula1>Nov!$AR$1:$AR$64</formula1>
    </dataValidation>
    <dataValidation type="list" allowBlank="1" showErrorMessage="1" sqref="Z28:Z39">
      <formula1>Nov!$AR$35:$AR$64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4" width="4.5"/>
    <col customWidth="1" min="5" max="5" width="5.25"/>
    <col customWidth="1" min="6" max="11" width="4.5"/>
    <col customWidth="1" min="12" max="12" width="5.88"/>
    <col customWidth="1" min="13" max="13" width="2.63"/>
    <col customWidth="1" min="14" max="14" width="4.5"/>
    <col customWidth="1" min="15" max="15" width="6.38"/>
    <col customWidth="1" min="16" max="16" width="4.5"/>
    <col customWidth="1" min="17" max="17" width="5.63"/>
    <col customWidth="1" min="18" max="18" width="2.63"/>
    <col customWidth="1" min="19" max="19" width="4.5"/>
    <col customWidth="1" min="20" max="20" width="6.5"/>
    <col customWidth="1" min="21" max="21" width="4.5"/>
    <col customWidth="1" min="22" max="22" width="5.75"/>
    <col customWidth="1" min="23" max="23" width="2.63"/>
    <col customWidth="1" min="24" max="24" width="7.38"/>
    <col customWidth="1" min="25" max="25" width="2.63"/>
    <col customWidth="1" min="26" max="26" width="4.5"/>
    <col customWidth="1" min="27" max="27" width="5.5"/>
    <col customWidth="1" min="28" max="37" width="4.5"/>
    <col customWidth="1" hidden="1" min="38" max="41" width="4.5"/>
    <col customWidth="1" hidden="1" min="42" max="42" width="3.88"/>
    <col customWidth="1" hidden="1" min="43" max="72" width="4.5"/>
  </cols>
  <sheetData>
    <row r="1" ht="7.5" customHeight="1">
      <c r="AQ1" s="24" t="s">
        <v>53</v>
      </c>
      <c r="AR1" s="25" t="str">
        <f>'პარამეტრები'!E8</f>
        <v>ქირა</v>
      </c>
      <c r="AV1" s="25" t="str">
        <f>'პარამეტრები'!B8</f>
        <v>ხელფასი</v>
      </c>
      <c r="AW1" s="24" t="s">
        <v>54</v>
      </c>
      <c r="BA1" s="26" t="s">
        <v>55</v>
      </c>
      <c r="BB1" s="27"/>
      <c r="BC1" s="27"/>
      <c r="BD1" s="27"/>
      <c r="BE1" s="27"/>
      <c r="BF1" s="27"/>
      <c r="BG1" s="27"/>
      <c r="BH1" s="27"/>
      <c r="BI1" s="27"/>
      <c r="BJ1" s="27"/>
      <c r="BK1" s="28"/>
    </row>
    <row r="2"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1"/>
      <c r="AR2" s="25" t="str">
        <f>'პარამეტრები'!E9</f>
        <v>მობილური ტელეფონი</v>
      </c>
      <c r="AV2" s="25" t="str">
        <f>'პარამეტრები'!B9</f>
        <v>ბონუსი</v>
      </c>
      <c r="BA2" s="32" t="s">
        <v>56</v>
      </c>
      <c r="BF2" s="33" t="s">
        <v>57</v>
      </c>
      <c r="BI2" s="33" t="s">
        <v>58</v>
      </c>
      <c r="BK2" s="34"/>
    </row>
    <row r="3">
      <c r="B3" s="35"/>
      <c r="C3" s="36" t="s">
        <v>104</v>
      </c>
      <c r="H3" s="37"/>
      <c r="I3" s="38" t="s">
        <v>7</v>
      </c>
      <c r="M3" s="37"/>
      <c r="N3" s="38" t="s">
        <v>60</v>
      </c>
      <c r="R3" s="37"/>
      <c r="S3" s="38" t="s">
        <v>61</v>
      </c>
      <c r="W3" s="37"/>
      <c r="X3" s="38" t="s">
        <v>62</v>
      </c>
      <c r="AB3" s="37"/>
      <c r="AC3" s="38" t="s">
        <v>9</v>
      </c>
      <c r="AE3" s="37"/>
      <c r="AF3" s="38" t="s">
        <v>63</v>
      </c>
      <c r="AJ3" s="39"/>
      <c r="AR3" s="25" t="str">
        <f>'პარამეტრები'!E10</f>
        <v>ინტერნეტი</v>
      </c>
      <c r="AV3" s="25" t="str">
        <f>'პარამეტრები'!B10</f>
        <v>ფრილანსერობა</v>
      </c>
      <c r="BA3" s="32" t="s">
        <v>64</v>
      </c>
      <c r="BF3" s="40">
        <f>S40</f>
        <v>0</v>
      </c>
      <c r="BI3" s="40">
        <f>SUM(AB44:AD143)</f>
        <v>0</v>
      </c>
      <c r="BK3" s="34"/>
    </row>
    <row r="4">
      <c r="B4" s="35"/>
      <c r="H4" s="37"/>
      <c r="I4" s="41" t="s">
        <v>65</v>
      </c>
      <c r="K4" s="41" t="s">
        <v>66</v>
      </c>
      <c r="M4" s="37"/>
      <c r="N4" s="41" t="s">
        <v>65</v>
      </c>
      <c r="P4" s="41" t="s">
        <v>66</v>
      </c>
      <c r="R4" s="37"/>
      <c r="S4" s="41" t="s">
        <v>65</v>
      </c>
      <c r="U4" s="41" t="s">
        <v>66</v>
      </c>
      <c r="W4" s="37"/>
      <c r="X4" s="41" t="s">
        <v>65</v>
      </c>
      <c r="Z4" s="41" t="s">
        <v>66</v>
      </c>
      <c r="AB4" s="37"/>
      <c r="AC4" s="42">
        <f>BF7</f>
        <v>0</v>
      </c>
      <c r="AD4" s="43"/>
      <c r="AE4" s="37"/>
      <c r="AF4" s="41" t="s">
        <v>65</v>
      </c>
      <c r="AH4" s="41" t="s">
        <v>66</v>
      </c>
      <c r="AJ4" s="39"/>
      <c r="AR4" s="25" t="str">
        <f>'პარამეტრები'!E11</f>
        <v>დაზღვევა</v>
      </c>
      <c r="AV4" s="25" t="str">
        <f>'პარამეტრები'!B11</f>
        <v>ბიზნესი</v>
      </c>
      <c r="BA4" s="32" t="s">
        <v>67</v>
      </c>
      <c r="BF4" s="40">
        <f>G40+SUM(AE28:AG39)</f>
        <v>0</v>
      </c>
      <c r="BI4" s="40">
        <f>SUM(J44:L143)</f>
        <v>0</v>
      </c>
      <c r="BK4" s="34"/>
    </row>
    <row r="5">
      <c r="B5" s="35"/>
      <c r="C5" s="44" t="s">
        <v>68</v>
      </c>
      <c r="F5" s="41"/>
      <c r="H5" s="37"/>
      <c r="I5" s="45">
        <f>BF3</f>
        <v>0</v>
      </c>
      <c r="J5" s="46"/>
      <c r="K5" s="47">
        <f>BI3</f>
        <v>0</v>
      </c>
      <c r="L5" s="46"/>
      <c r="M5" s="37"/>
      <c r="N5" s="45">
        <f>BF4</f>
        <v>0</v>
      </c>
      <c r="O5" s="46"/>
      <c r="P5" s="47">
        <f>BI4</f>
        <v>0</v>
      </c>
      <c r="Q5" s="46"/>
      <c r="R5" s="37"/>
      <c r="S5" s="45">
        <f>BF5</f>
        <v>0</v>
      </c>
      <c r="T5" s="46"/>
      <c r="U5" s="47">
        <f>BI5</f>
        <v>0</v>
      </c>
      <c r="V5" s="46"/>
      <c r="W5" s="37"/>
      <c r="X5" s="45">
        <f>BF6</f>
        <v>0</v>
      </c>
      <c r="Y5" s="46"/>
      <c r="Z5" s="47">
        <f>BI6</f>
        <v>0</v>
      </c>
      <c r="AA5" s="46"/>
      <c r="AB5" s="37"/>
      <c r="AC5" s="48"/>
      <c r="AD5" s="49"/>
      <c r="AE5" s="37"/>
      <c r="AF5" s="50">
        <v>0.0</v>
      </c>
      <c r="AG5" s="46"/>
      <c r="AH5" s="50">
        <v>0.0</v>
      </c>
      <c r="AI5" s="46"/>
      <c r="AJ5" s="39"/>
      <c r="AR5" s="25" t="str">
        <f>'პარამეტრები'!E12</f>
        <v>საწევრო</v>
      </c>
      <c r="AV5" s="25" t="str">
        <f>'პარამეტრები'!B12</f>
        <v>ინვესტიციები და დეპოზიტები</v>
      </c>
      <c r="BA5" s="32" t="s">
        <v>69</v>
      </c>
      <c r="BF5" s="40">
        <f>S40-G40-AE40</f>
        <v>0</v>
      </c>
      <c r="BI5" s="40">
        <f>SUM(AB44:AD143)-SUM(J44:L143)</f>
        <v>0</v>
      </c>
      <c r="BK5" s="34"/>
    </row>
    <row r="6">
      <c r="B6" s="51"/>
      <c r="C6" s="52"/>
      <c r="D6" s="52"/>
      <c r="E6" s="52"/>
      <c r="F6" s="53"/>
      <c r="G6" s="53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5"/>
      <c r="AR6" s="25" t="str">
        <f>'პარამეტრები'!E13</f>
        <v>კომუნალური</v>
      </c>
      <c r="AV6" s="25" t="str">
        <f>'პარამეტრები'!B13</f>
        <v>სხვა შემოსავალი</v>
      </c>
      <c r="BA6" s="32" t="s">
        <v>70</v>
      </c>
      <c r="BF6" s="40">
        <f>F5+BF5</f>
        <v>0</v>
      </c>
      <c r="BI6" s="40">
        <f>F5+BI5</f>
        <v>0</v>
      </c>
      <c r="BK6" s="34"/>
    </row>
    <row r="7"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R7" s="25" t="str">
        <f>'პარამეტრები'!E14</f>
        <v>ოჯახი</v>
      </c>
      <c r="AV7" s="25" t="str">
        <f>'პარამეტრები'!B14</f>
        <v>შემოსავალი ოჯახიდან</v>
      </c>
      <c r="BA7" s="32" t="s">
        <v>71</v>
      </c>
      <c r="BF7" s="40">
        <f>AE40</f>
        <v>0</v>
      </c>
      <c r="BK7" s="34"/>
    </row>
    <row r="8">
      <c r="B8" s="57" t="s">
        <v>72</v>
      </c>
      <c r="C8" s="6"/>
      <c r="D8" s="6"/>
      <c r="E8" s="6"/>
      <c r="F8" s="6"/>
      <c r="G8" s="6"/>
      <c r="H8" s="6"/>
      <c r="I8" s="6"/>
      <c r="J8" s="6"/>
      <c r="K8" s="6"/>
      <c r="L8" s="7"/>
      <c r="M8" s="56"/>
      <c r="N8" s="57" t="s">
        <v>73</v>
      </c>
      <c r="O8" s="6"/>
      <c r="P8" s="6"/>
      <c r="Q8" s="6"/>
      <c r="R8" s="6"/>
      <c r="S8" s="6"/>
      <c r="T8" s="6"/>
      <c r="U8" s="6"/>
      <c r="V8" s="6"/>
      <c r="W8" s="6"/>
      <c r="X8" s="7"/>
      <c r="Y8" s="56"/>
      <c r="Z8" s="57" t="s">
        <v>74</v>
      </c>
      <c r="AA8" s="6"/>
      <c r="AB8" s="6"/>
      <c r="AC8" s="6"/>
      <c r="AD8" s="6"/>
      <c r="AE8" s="6"/>
      <c r="AF8" s="6"/>
      <c r="AG8" s="6"/>
      <c r="AH8" s="6"/>
      <c r="AI8" s="6"/>
      <c r="AJ8" s="7"/>
      <c r="AR8" s="25" t="str">
        <f>'პარამეტრები'!E15</f>
        <v>შინაური ცხოველები</v>
      </c>
      <c r="AV8" s="25" t="str">
        <f>'პარამეტრები'!B15</f>
        <v>შემოსავალი მესამე პირიდან</v>
      </c>
      <c r="BA8" s="32" t="s">
        <v>75</v>
      </c>
      <c r="BF8" s="33">
        <v>0.0</v>
      </c>
      <c r="BK8" s="34"/>
    </row>
    <row r="9">
      <c r="B9" s="58"/>
      <c r="C9" s="56"/>
      <c r="D9" s="56"/>
      <c r="E9" s="56"/>
      <c r="F9" s="56"/>
      <c r="G9" s="56"/>
      <c r="H9" s="56"/>
      <c r="I9" s="56"/>
      <c r="J9" s="56"/>
      <c r="K9" s="56"/>
      <c r="L9" s="59"/>
      <c r="M9" s="56"/>
      <c r="N9" s="58"/>
      <c r="O9" s="56"/>
      <c r="P9" s="56"/>
      <c r="Q9" s="56"/>
      <c r="R9" s="56"/>
      <c r="S9" s="56"/>
      <c r="T9" s="56"/>
      <c r="U9" s="56"/>
      <c r="V9" s="56"/>
      <c r="W9" s="56"/>
      <c r="X9" s="59"/>
      <c r="Y9" s="56"/>
      <c r="Z9" s="58"/>
      <c r="AA9" s="56"/>
      <c r="AB9" s="56"/>
      <c r="AC9" s="56"/>
      <c r="AD9" s="56"/>
      <c r="AE9" s="56"/>
      <c r="AF9" s="56"/>
      <c r="AG9" s="56"/>
      <c r="AH9" s="56"/>
      <c r="AI9" s="56"/>
      <c r="AJ9" s="59"/>
      <c r="AR9" s="25" t="str">
        <f>'პარამეტრები'!E16</f>
        <v>პირადი</v>
      </c>
      <c r="AV9" s="25" t="str">
        <f>'პარამეტრები'!B16</f>
        <v>ვალის დაბრუნება</v>
      </c>
      <c r="BA9" s="32" t="s">
        <v>76</v>
      </c>
      <c r="BF9" s="33">
        <v>0.0</v>
      </c>
      <c r="BK9" s="34"/>
    </row>
    <row r="10">
      <c r="B10" s="58"/>
      <c r="C10" s="56"/>
      <c r="D10" s="56"/>
      <c r="E10" s="56"/>
      <c r="F10" s="56"/>
      <c r="G10" s="56"/>
      <c r="H10" s="56"/>
      <c r="I10" s="56"/>
      <c r="J10" s="56"/>
      <c r="K10" s="56"/>
      <c r="L10" s="59"/>
      <c r="M10" s="56"/>
      <c r="N10" s="58"/>
      <c r="O10" s="56"/>
      <c r="P10" s="56"/>
      <c r="Q10" s="56"/>
      <c r="R10" s="56"/>
      <c r="S10" s="56"/>
      <c r="T10" s="56"/>
      <c r="U10" s="56"/>
      <c r="V10" s="56"/>
      <c r="W10" s="56"/>
      <c r="X10" s="59"/>
      <c r="Y10" s="56"/>
      <c r="Z10" s="58"/>
      <c r="AA10" s="56"/>
      <c r="AB10" s="56"/>
      <c r="AC10" s="56"/>
      <c r="AD10" s="56"/>
      <c r="AE10" s="56"/>
      <c r="AF10" s="56"/>
      <c r="AG10" s="56"/>
      <c r="AH10" s="56"/>
      <c r="AI10" s="56"/>
      <c r="AJ10" s="59"/>
      <c r="AR10" s="25" t="str">
        <f>'პარამეტრები'!E17</f>
        <v>თავის მოვლა</v>
      </c>
      <c r="AV10" s="25" t="str">
        <f>'პარამეტრები'!B17</f>
        <v>ნივთის გაყიდვა</v>
      </c>
    </row>
    <row r="11">
      <c r="B11" s="58"/>
      <c r="C11" s="56"/>
      <c r="D11" s="56"/>
      <c r="E11" s="56"/>
      <c r="F11" s="56"/>
      <c r="G11" s="56"/>
      <c r="H11" s="56"/>
      <c r="I11" s="56"/>
      <c r="J11" s="56"/>
      <c r="K11" s="56"/>
      <c r="L11" s="59"/>
      <c r="M11" s="56"/>
      <c r="N11" s="58"/>
      <c r="O11" s="56"/>
      <c r="P11" s="56"/>
      <c r="Q11" s="56"/>
      <c r="R11" s="56"/>
      <c r="S11" s="56"/>
      <c r="T11" s="56"/>
      <c r="U11" s="56"/>
      <c r="V11" s="56"/>
      <c r="W11" s="56"/>
      <c r="X11" s="59"/>
      <c r="Y11" s="56"/>
      <c r="Z11" s="58"/>
      <c r="AA11" s="56"/>
      <c r="AB11" s="56"/>
      <c r="AC11" s="56"/>
      <c r="AD11" s="56"/>
      <c r="AE11" s="56"/>
      <c r="AF11" s="56"/>
      <c r="AG11" s="56"/>
      <c r="AH11" s="56"/>
      <c r="AI11" s="56"/>
      <c r="AJ11" s="59"/>
      <c r="AR11" s="25" t="str">
        <f>'პარამეტრები'!E18</f>
        <v>ქველმოქმედება</v>
      </c>
      <c r="AV11" s="25" t="str">
        <f>'პარამეტრები'!B18</f>
        <v>სტიპენდია / გრანტი</v>
      </c>
    </row>
    <row r="12">
      <c r="B12" s="58"/>
      <c r="C12" s="56"/>
      <c r="D12" s="56"/>
      <c r="E12" s="56"/>
      <c r="F12" s="56"/>
      <c r="G12" s="56"/>
      <c r="H12" s="56"/>
      <c r="I12" s="56"/>
      <c r="J12" s="56"/>
      <c r="K12" s="56"/>
      <c r="L12" s="59"/>
      <c r="M12" s="56"/>
      <c r="N12" s="58"/>
      <c r="O12" s="56"/>
      <c r="P12" s="56"/>
      <c r="Q12" s="56"/>
      <c r="R12" s="56"/>
      <c r="S12" s="56"/>
      <c r="T12" s="56"/>
      <c r="U12" s="56"/>
      <c r="V12" s="56"/>
      <c r="W12" s="56"/>
      <c r="X12" s="59"/>
      <c r="Y12" s="56"/>
      <c r="Z12" s="58"/>
      <c r="AA12" s="56"/>
      <c r="AB12" s="56"/>
      <c r="AC12" s="56"/>
      <c r="AD12" s="56"/>
      <c r="AE12" s="56"/>
      <c r="AF12" s="56"/>
      <c r="AG12" s="56"/>
      <c r="AH12" s="56"/>
      <c r="AI12" s="56"/>
      <c r="AJ12" s="59"/>
      <c r="AR12" s="25" t="str">
        <f>'პარამეტრები'!E19</f>
        <v>ტრანსპორტი</v>
      </c>
      <c r="AV12" s="25" t="str">
        <f>'პარამეტრები'!B19</f>
        <v>დივიდენდები</v>
      </c>
    </row>
    <row r="13">
      <c r="B13" s="58"/>
      <c r="C13" s="56"/>
      <c r="D13" s="56"/>
      <c r="E13" s="56"/>
      <c r="F13" s="56"/>
      <c r="G13" s="56"/>
      <c r="H13" s="56"/>
      <c r="I13" s="56"/>
      <c r="J13" s="56"/>
      <c r="K13" s="56"/>
      <c r="L13" s="59"/>
      <c r="M13" s="56"/>
      <c r="N13" s="58"/>
      <c r="O13" s="56"/>
      <c r="P13" s="56"/>
      <c r="Q13" s="56"/>
      <c r="R13" s="56"/>
      <c r="S13" s="56"/>
      <c r="T13" s="56"/>
      <c r="U13" s="56"/>
      <c r="V13" s="56"/>
      <c r="W13" s="56"/>
      <c r="X13" s="59"/>
      <c r="Y13" s="56"/>
      <c r="Z13" s="58"/>
      <c r="AA13" s="56"/>
      <c r="AB13" s="56"/>
      <c r="AC13" s="56"/>
      <c r="AD13" s="56"/>
      <c r="AE13" s="56"/>
      <c r="AF13" s="56"/>
      <c r="AG13" s="56"/>
      <c r="AH13" s="56"/>
      <c r="AI13" s="56"/>
      <c r="AJ13" s="59"/>
      <c r="AR13" s="25" t="str">
        <f>'პარამეტრები'!E20</f>
        <v>ტაქსი</v>
      </c>
      <c r="AV13" s="25" t="str">
        <f>'პარამეტრები'!B20</f>
        <v/>
      </c>
    </row>
    <row r="14">
      <c r="B14" s="58"/>
      <c r="C14" s="56"/>
      <c r="D14" s="56"/>
      <c r="E14" s="56"/>
      <c r="F14" s="56"/>
      <c r="G14" s="56"/>
      <c r="H14" s="56"/>
      <c r="I14" s="56"/>
      <c r="J14" s="56"/>
      <c r="K14" s="56"/>
      <c r="L14" s="59"/>
      <c r="M14" s="56"/>
      <c r="N14" s="58"/>
      <c r="O14" s="56"/>
      <c r="P14" s="56"/>
      <c r="Q14" s="56"/>
      <c r="R14" s="56"/>
      <c r="S14" s="56"/>
      <c r="T14" s="56"/>
      <c r="U14" s="56"/>
      <c r="V14" s="56"/>
      <c r="W14" s="56"/>
      <c r="X14" s="59"/>
      <c r="Y14" s="56"/>
      <c r="Z14" s="58"/>
      <c r="AA14" s="56"/>
      <c r="AB14" s="56"/>
      <c r="AC14" s="56"/>
      <c r="AD14" s="56"/>
      <c r="AE14" s="56"/>
      <c r="AF14" s="56"/>
      <c r="AG14" s="56"/>
      <c r="AH14" s="56"/>
      <c r="AI14" s="56"/>
      <c r="AJ14" s="59"/>
      <c r="AR14" s="25" t="str">
        <f>'პარამეტრები'!E21</f>
        <v>საჭმელი</v>
      </c>
      <c r="AV14" s="25" t="str">
        <f>'პარამეტრები'!B21</f>
        <v/>
      </c>
    </row>
    <row r="15">
      <c r="B15" s="58"/>
      <c r="C15" s="56"/>
      <c r="D15" s="56"/>
      <c r="E15" s="56"/>
      <c r="F15" s="56"/>
      <c r="G15" s="56"/>
      <c r="H15" s="56"/>
      <c r="I15" s="56"/>
      <c r="J15" s="56"/>
      <c r="K15" s="56"/>
      <c r="L15" s="59"/>
      <c r="M15" s="56"/>
      <c r="N15" s="58"/>
      <c r="O15" s="56"/>
      <c r="P15" s="56"/>
      <c r="Q15" s="56"/>
      <c r="R15" s="56"/>
      <c r="S15" s="56"/>
      <c r="T15" s="56"/>
      <c r="U15" s="56"/>
      <c r="V15" s="56"/>
      <c r="W15" s="56"/>
      <c r="X15" s="59"/>
      <c r="Y15" s="56"/>
      <c r="Z15" s="58"/>
      <c r="AA15" s="56"/>
      <c r="AB15" s="56"/>
      <c r="AC15" s="56"/>
      <c r="AD15" s="56"/>
      <c r="AE15" s="56"/>
      <c r="AF15" s="56"/>
      <c r="AG15" s="56"/>
      <c r="AH15" s="56"/>
      <c r="AI15" s="56"/>
      <c r="AJ15" s="59"/>
      <c r="AR15" s="25" t="str">
        <f>'პარამეტრები'!E22</f>
        <v>კაფეები და რესტორნები</v>
      </c>
      <c r="AV15" s="25" t="str">
        <f>'პარამეტრები'!B22</f>
        <v/>
      </c>
    </row>
    <row r="16">
      <c r="B16" s="58"/>
      <c r="C16" s="56"/>
      <c r="D16" s="56"/>
      <c r="E16" s="56"/>
      <c r="F16" s="56"/>
      <c r="G16" s="56"/>
      <c r="H16" s="56"/>
      <c r="I16" s="56"/>
      <c r="J16" s="56"/>
      <c r="K16" s="56"/>
      <c r="L16" s="59"/>
      <c r="M16" s="56"/>
      <c r="N16" s="58"/>
      <c r="O16" s="56"/>
      <c r="P16" s="56"/>
      <c r="Q16" s="56"/>
      <c r="R16" s="56"/>
      <c r="S16" s="56"/>
      <c r="T16" s="56"/>
      <c r="U16" s="56"/>
      <c r="V16" s="56"/>
      <c r="W16" s="56"/>
      <c r="X16" s="59"/>
      <c r="Y16" s="56"/>
      <c r="Z16" s="58"/>
      <c r="AA16" s="56"/>
      <c r="AB16" s="56"/>
      <c r="AC16" s="56"/>
      <c r="AD16" s="56"/>
      <c r="AE16" s="56"/>
      <c r="AF16" s="56"/>
      <c r="AG16" s="56"/>
      <c r="AH16" s="56"/>
      <c r="AI16" s="56"/>
      <c r="AJ16" s="59"/>
      <c r="AR16" s="25" t="str">
        <f>'პარამეტრები'!E23</f>
        <v>მანქანა</v>
      </c>
      <c r="AV16" s="25" t="str">
        <f>'პარამეტრები'!B23</f>
        <v/>
      </c>
    </row>
    <row r="17">
      <c r="B17" s="58"/>
      <c r="C17" s="56"/>
      <c r="D17" s="56"/>
      <c r="E17" s="56"/>
      <c r="F17" s="56"/>
      <c r="G17" s="56"/>
      <c r="H17" s="56"/>
      <c r="I17" s="56"/>
      <c r="J17" s="56"/>
      <c r="K17" s="56"/>
      <c r="L17" s="59"/>
      <c r="M17" s="56"/>
      <c r="N17" s="58"/>
      <c r="O17" s="56"/>
      <c r="P17" s="56"/>
      <c r="Q17" s="56"/>
      <c r="R17" s="56"/>
      <c r="S17" s="56"/>
      <c r="T17" s="56"/>
      <c r="U17" s="56"/>
      <c r="V17" s="56"/>
      <c r="W17" s="56"/>
      <c r="X17" s="59"/>
      <c r="Y17" s="56"/>
      <c r="Z17" s="58"/>
      <c r="AA17" s="56"/>
      <c r="AB17" s="56"/>
      <c r="AC17" s="56"/>
      <c r="AD17" s="56"/>
      <c r="AE17" s="56"/>
      <c r="AF17" s="56"/>
      <c r="AG17" s="56"/>
      <c r="AH17" s="56"/>
      <c r="AI17" s="56"/>
      <c r="AJ17" s="59"/>
      <c r="AR17" s="25" t="str">
        <f>'პარამეტრები'!E24</f>
        <v>საწვავი</v>
      </c>
      <c r="AV17" s="25" t="str">
        <f>'პარამეტრები'!B24</f>
        <v/>
      </c>
    </row>
    <row r="18">
      <c r="B18" s="58"/>
      <c r="C18" s="56"/>
      <c r="D18" s="56"/>
      <c r="E18" s="56"/>
      <c r="F18" s="56"/>
      <c r="G18" s="56"/>
      <c r="H18" s="56"/>
      <c r="I18" s="56"/>
      <c r="J18" s="56"/>
      <c r="K18" s="56"/>
      <c r="L18" s="59"/>
      <c r="M18" s="56"/>
      <c r="N18" s="58"/>
      <c r="O18" s="56"/>
      <c r="P18" s="56"/>
      <c r="Q18" s="56"/>
      <c r="R18" s="56"/>
      <c r="S18" s="56"/>
      <c r="T18" s="56"/>
      <c r="U18" s="56"/>
      <c r="V18" s="56"/>
      <c r="W18" s="56"/>
      <c r="X18" s="59"/>
      <c r="Y18" s="56"/>
      <c r="Z18" s="58"/>
      <c r="AA18" s="56"/>
      <c r="AB18" s="56"/>
      <c r="AC18" s="56"/>
      <c r="AD18" s="56"/>
      <c r="AE18" s="56"/>
      <c r="AF18" s="56"/>
      <c r="AG18" s="56"/>
      <c r="AH18" s="56"/>
      <c r="AI18" s="56"/>
      <c r="AJ18" s="59"/>
      <c r="AR18" s="25" t="str">
        <f>'პარამეტრები'!E25</f>
        <v>მოგზაურობა</v>
      </c>
      <c r="AV18" s="25" t="str">
        <f>'პარამეტრები'!B25</f>
        <v/>
      </c>
    </row>
    <row r="19">
      <c r="B19" s="58"/>
      <c r="C19" s="56"/>
      <c r="D19" s="56"/>
      <c r="E19" s="56"/>
      <c r="F19" s="56"/>
      <c r="G19" s="56"/>
      <c r="H19" s="56"/>
      <c r="I19" s="56"/>
      <c r="J19" s="56"/>
      <c r="K19" s="56"/>
      <c r="L19" s="59"/>
      <c r="M19" s="56"/>
      <c r="N19" s="58"/>
      <c r="O19" s="56"/>
      <c r="P19" s="56"/>
      <c r="Q19" s="56"/>
      <c r="R19" s="56"/>
      <c r="S19" s="56"/>
      <c r="T19" s="56"/>
      <c r="U19" s="56"/>
      <c r="V19" s="56"/>
      <c r="W19" s="56"/>
      <c r="X19" s="59"/>
      <c r="Y19" s="56"/>
      <c r="Z19" s="58"/>
      <c r="AA19" s="56"/>
      <c r="AB19" s="56"/>
      <c r="AC19" s="56"/>
      <c r="AD19" s="56"/>
      <c r="AE19" s="56"/>
      <c r="AF19" s="56"/>
      <c r="AG19" s="56"/>
      <c r="AH19" s="56"/>
      <c r="AI19" s="56"/>
      <c r="AJ19" s="59"/>
      <c r="AR19" s="25" t="str">
        <f>'პარამეტრები'!E26</f>
        <v>წამლები</v>
      </c>
      <c r="AV19" s="25" t="str">
        <f>'პარამეტრები'!B26</f>
        <v/>
      </c>
    </row>
    <row r="20">
      <c r="B20" s="58"/>
      <c r="C20" s="56"/>
      <c r="D20" s="56"/>
      <c r="E20" s="56"/>
      <c r="F20" s="56"/>
      <c r="G20" s="56"/>
      <c r="H20" s="56"/>
      <c r="I20" s="56"/>
      <c r="J20" s="56"/>
      <c r="K20" s="56"/>
      <c r="L20" s="59"/>
      <c r="M20" s="56"/>
      <c r="N20" s="58"/>
      <c r="O20" s="56"/>
      <c r="P20" s="56"/>
      <c r="Q20" s="56"/>
      <c r="R20" s="56"/>
      <c r="S20" s="56"/>
      <c r="T20" s="56"/>
      <c r="U20" s="56"/>
      <c r="V20" s="56"/>
      <c r="W20" s="56"/>
      <c r="X20" s="59"/>
      <c r="Y20" s="56"/>
      <c r="Z20" s="58"/>
      <c r="AA20" s="56"/>
      <c r="AB20" s="56"/>
      <c r="AC20" s="56"/>
      <c r="AD20" s="56"/>
      <c r="AE20" s="56"/>
      <c r="AF20" s="56"/>
      <c r="AG20" s="56"/>
      <c r="AH20" s="56"/>
      <c r="AI20" s="56"/>
      <c r="AJ20" s="59"/>
      <c r="AR20" s="25" t="str">
        <f>'პარამეტრები'!E27</f>
        <v>გართობა</v>
      </c>
      <c r="AV20" s="25" t="str">
        <f>'პარამეტრები'!B27</f>
        <v/>
      </c>
    </row>
    <row r="21">
      <c r="B21" s="58"/>
      <c r="C21" s="56"/>
      <c r="D21" s="56"/>
      <c r="E21" s="56"/>
      <c r="F21" s="56"/>
      <c r="G21" s="56"/>
      <c r="H21" s="56"/>
      <c r="I21" s="56"/>
      <c r="J21" s="56"/>
      <c r="K21" s="56"/>
      <c r="L21" s="59"/>
      <c r="M21" s="56"/>
      <c r="N21" s="58"/>
      <c r="O21" s="56"/>
      <c r="P21" s="56"/>
      <c r="Q21" s="56"/>
      <c r="R21" s="56"/>
      <c r="S21" s="56"/>
      <c r="T21" s="56"/>
      <c r="U21" s="56"/>
      <c r="V21" s="56"/>
      <c r="W21" s="56"/>
      <c r="X21" s="59"/>
      <c r="Y21" s="56"/>
      <c r="Z21" s="58"/>
      <c r="AA21" s="56"/>
      <c r="AB21" s="56"/>
      <c r="AC21" s="56"/>
      <c r="AD21" s="56"/>
      <c r="AE21" s="56"/>
      <c r="AF21" s="56"/>
      <c r="AG21" s="56"/>
      <c r="AH21" s="56"/>
      <c r="AI21" s="56"/>
      <c r="AJ21" s="59"/>
      <c r="AR21" s="25" t="str">
        <f>'პარამეტრები'!E28</f>
        <v>სასმელი</v>
      </c>
      <c r="AV21" s="25" t="str">
        <f>'პარამეტრები'!B28</f>
        <v/>
      </c>
      <c r="BB21" s="60"/>
      <c r="BC21" s="60"/>
      <c r="BD21" s="60"/>
      <c r="BE21" s="60"/>
      <c r="BF21" s="60"/>
      <c r="BG21" s="60"/>
      <c r="BH21" s="60"/>
    </row>
    <row r="22">
      <c r="B22" s="58"/>
      <c r="C22" s="56"/>
      <c r="D22" s="56"/>
      <c r="E22" s="56"/>
      <c r="F22" s="56"/>
      <c r="G22" s="56"/>
      <c r="H22" s="56"/>
      <c r="I22" s="56"/>
      <c r="J22" s="56"/>
      <c r="K22" s="56"/>
      <c r="L22" s="59"/>
      <c r="M22" s="56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9"/>
      <c r="Y22" s="56"/>
      <c r="Z22" s="58"/>
      <c r="AA22" s="56"/>
      <c r="AB22" s="56"/>
      <c r="AC22" s="56"/>
      <c r="AD22" s="56"/>
      <c r="AE22" s="56"/>
      <c r="AF22" s="56"/>
      <c r="AG22" s="56"/>
      <c r="AH22" s="56"/>
      <c r="AI22" s="56"/>
      <c r="AJ22" s="59"/>
      <c r="AR22" s="25" t="str">
        <f>'პარამეტრები'!E29</f>
        <v>სიგარეტი</v>
      </c>
      <c r="AV22" s="25" t="str">
        <f>'პარამეტრები'!B29</f>
        <v/>
      </c>
      <c r="BB22" s="60"/>
      <c r="BC22" s="60"/>
      <c r="BD22" s="60"/>
      <c r="BE22" s="60"/>
      <c r="BF22" s="60"/>
      <c r="BG22" s="60"/>
      <c r="BH22" s="60"/>
    </row>
    <row r="23">
      <c r="B23" s="58"/>
      <c r="C23" s="56"/>
      <c r="D23" s="56"/>
      <c r="E23" s="56"/>
      <c r="F23" s="56"/>
      <c r="G23" s="56"/>
      <c r="H23" s="56"/>
      <c r="I23" s="56"/>
      <c r="J23" s="56"/>
      <c r="K23" s="56"/>
      <c r="L23" s="59"/>
      <c r="M23" s="56"/>
      <c r="N23" s="58"/>
      <c r="O23" s="56"/>
      <c r="P23" s="56"/>
      <c r="Q23" s="56"/>
      <c r="R23" s="56"/>
      <c r="S23" s="56"/>
      <c r="T23" s="56"/>
      <c r="U23" s="56"/>
      <c r="V23" s="56"/>
      <c r="W23" s="56"/>
      <c r="X23" s="59"/>
      <c r="Y23" s="56"/>
      <c r="Z23" s="58"/>
      <c r="AA23" s="56"/>
      <c r="AB23" s="56"/>
      <c r="AC23" s="56"/>
      <c r="AD23" s="56"/>
      <c r="AE23" s="56"/>
      <c r="AF23" s="56"/>
      <c r="AG23" s="56"/>
      <c r="AH23" s="56"/>
      <c r="AI23" s="56"/>
      <c r="AJ23" s="59"/>
      <c r="AR23" s="25" t="str">
        <f>'პარამეტრები'!E30</f>
        <v>შოპინგი</v>
      </c>
      <c r="AV23" s="25" t="str">
        <f>'პარამეტრები'!B30</f>
        <v/>
      </c>
      <c r="BB23" s="60"/>
      <c r="BC23" s="60"/>
      <c r="BD23" s="60"/>
      <c r="BE23" s="60"/>
      <c r="BF23" s="60"/>
      <c r="BG23" s="60"/>
      <c r="BH23" s="60"/>
    </row>
    <row r="24">
      <c r="B24" s="61"/>
      <c r="C24" s="62"/>
      <c r="D24" s="62"/>
      <c r="E24" s="62"/>
      <c r="F24" s="62"/>
      <c r="G24" s="62"/>
      <c r="H24" s="62"/>
      <c r="I24" s="62"/>
      <c r="J24" s="62"/>
      <c r="K24" s="62"/>
      <c r="L24" s="63"/>
      <c r="M24" s="56"/>
      <c r="N24" s="61"/>
      <c r="O24" s="62"/>
      <c r="P24" s="62"/>
      <c r="Q24" s="62"/>
      <c r="R24" s="62"/>
      <c r="S24" s="62"/>
      <c r="T24" s="62"/>
      <c r="U24" s="62"/>
      <c r="V24" s="62"/>
      <c r="W24" s="62"/>
      <c r="X24" s="63"/>
      <c r="Y24" s="56"/>
      <c r="Z24" s="61"/>
      <c r="AA24" s="62"/>
      <c r="AB24" s="62"/>
      <c r="AC24" s="62"/>
      <c r="AD24" s="62"/>
      <c r="AE24" s="62"/>
      <c r="AF24" s="62"/>
      <c r="AG24" s="62"/>
      <c r="AH24" s="62"/>
      <c r="AI24" s="62"/>
      <c r="AJ24" s="63"/>
      <c r="AR24" s="25" t="str">
        <f>'პარამეტრები'!E31</f>
        <v>ტანსაცმელი</v>
      </c>
      <c r="AV24" s="25" t="str">
        <f>'პარამეტრები'!B31</f>
        <v/>
      </c>
      <c r="BB24" s="60"/>
      <c r="BC24" s="60"/>
      <c r="BD24" s="60"/>
      <c r="BE24" s="60"/>
      <c r="BF24" s="60"/>
      <c r="BG24" s="60"/>
      <c r="BH24" s="60"/>
    </row>
    <row r="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R25" s="25" t="str">
        <f>'პარამეტრები'!E32</f>
        <v>განათლება</v>
      </c>
      <c r="AV25" s="25" t="str">
        <f>'პარამეტრები'!B32</f>
        <v/>
      </c>
      <c r="AX25" s="60"/>
      <c r="BF25" s="60"/>
      <c r="BG25" s="60"/>
      <c r="BH25" s="60"/>
    </row>
    <row r="26">
      <c r="B26" s="64" t="s">
        <v>77</v>
      </c>
      <c r="C26" s="65"/>
      <c r="D26" s="65"/>
      <c r="E26" s="65"/>
      <c r="F26" s="65"/>
      <c r="G26" s="65"/>
      <c r="H26" s="65"/>
      <c r="I26" s="65"/>
      <c r="J26" s="65"/>
      <c r="K26" s="65"/>
      <c r="L26" s="46"/>
      <c r="M26" s="56"/>
      <c r="N26" s="64" t="s">
        <v>78</v>
      </c>
      <c r="O26" s="65"/>
      <c r="P26" s="65"/>
      <c r="Q26" s="65"/>
      <c r="R26" s="65"/>
      <c r="S26" s="65"/>
      <c r="T26" s="65"/>
      <c r="U26" s="65"/>
      <c r="V26" s="65"/>
      <c r="W26" s="65"/>
      <c r="X26" s="46"/>
      <c r="Y26" s="56"/>
      <c r="Z26" s="64" t="s">
        <v>9</v>
      </c>
      <c r="AA26" s="65"/>
      <c r="AB26" s="65"/>
      <c r="AC26" s="65"/>
      <c r="AD26" s="65"/>
      <c r="AE26" s="65"/>
      <c r="AF26" s="65"/>
      <c r="AG26" s="65"/>
      <c r="AH26" s="65"/>
      <c r="AI26" s="65"/>
      <c r="AJ26" s="46"/>
      <c r="AR26" s="25" t="str">
        <f>'პარამეტრები'!E33</f>
        <v>სპორტი</v>
      </c>
      <c r="AV26" s="25" t="str">
        <f>'პარამეტრები'!B33</f>
        <v/>
      </c>
      <c r="AX26" s="60"/>
      <c r="BF26" s="60"/>
      <c r="BG26" s="60"/>
      <c r="BH26" s="60"/>
    </row>
    <row r="27">
      <c r="B27" s="66" t="s">
        <v>79</v>
      </c>
      <c r="C27" s="65"/>
      <c r="D27" s="65"/>
      <c r="E27" s="65"/>
      <c r="F27" s="46"/>
      <c r="G27" s="66" t="s">
        <v>65</v>
      </c>
      <c r="H27" s="65"/>
      <c r="I27" s="46"/>
      <c r="J27" s="66" t="s">
        <v>66</v>
      </c>
      <c r="K27" s="65"/>
      <c r="L27" s="46"/>
      <c r="M27" s="56"/>
      <c r="N27" s="66" t="s">
        <v>79</v>
      </c>
      <c r="O27" s="65"/>
      <c r="P27" s="65"/>
      <c r="Q27" s="65"/>
      <c r="R27" s="46"/>
      <c r="S27" s="66" t="s">
        <v>65</v>
      </c>
      <c r="T27" s="65"/>
      <c r="U27" s="46"/>
      <c r="V27" s="66" t="s">
        <v>66</v>
      </c>
      <c r="W27" s="65"/>
      <c r="X27" s="46"/>
      <c r="Y27" s="56"/>
      <c r="Z27" s="66" t="s">
        <v>79</v>
      </c>
      <c r="AA27" s="65"/>
      <c r="AB27" s="65"/>
      <c r="AC27" s="65"/>
      <c r="AD27" s="46"/>
      <c r="AE27" s="66" t="s">
        <v>9</v>
      </c>
      <c r="AF27" s="65"/>
      <c r="AG27" s="46"/>
      <c r="AH27" s="66" t="s">
        <v>66</v>
      </c>
      <c r="AI27" s="65"/>
      <c r="AJ27" s="46"/>
      <c r="AR27" s="25" t="str">
        <f>'პარამეტრები'!E34</f>
        <v/>
      </c>
      <c r="AV27" s="25" t="str">
        <f>'პარამეტრები'!B34</f>
        <v/>
      </c>
      <c r="AX27" s="60"/>
      <c r="BF27" s="60"/>
      <c r="BG27" s="60"/>
      <c r="BH27" s="60"/>
    </row>
    <row r="28">
      <c r="B28" s="67"/>
      <c r="C28" s="65"/>
      <c r="D28" s="65"/>
      <c r="E28" s="65"/>
      <c r="F28" s="46"/>
      <c r="G28" s="68"/>
      <c r="H28" s="65"/>
      <c r="I28" s="46"/>
      <c r="J28" s="68">
        <f t="shared" ref="J28:J39" si="1">SUMIF($E$44:$I$143,B28,$J$44:$L$143)</f>
        <v>0</v>
      </c>
      <c r="K28" s="65"/>
      <c r="L28" s="46"/>
      <c r="M28" s="56"/>
      <c r="N28" s="67"/>
      <c r="O28" s="65"/>
      <c r="P28" s="65"/>
      <c r="Q28" s="65"/>
      <c r="R28" s="46"/>
      <c r="S28" s="68"/>
      <c r="T28" s="65"/>
      <c r="U28" s="46"/>
      <c r="V28" s="68">
        <f t="shared" ref="V28:V39" si="2">SUMIF($W$44:$AA$143,N28,$AB$44:$AD$143)</f>
        <v>0</v>
      </c>
      <c r="W28" s="65"/>
      <c r="X28" s="46"/>
      <c r="Y28" s="56"/>
      <c r="Z28" s="67"/>
      <c r="AA28" s="65"/>
      <c r="AB28" s="65"/>
      <c r="AC28" s="65"/>
      <c r="AD28" s="46"/>
      <c r="AE28" s="68"/>
      <c r="AF28" s="65"/>
      <c r="AG28" s="46"/>
      <c r="AH28" s="68">
        <f t="shared" ref="AH28:AH39" si="3">SUMIF($E$44:$I$143,Z28,$J$44:$L$143)</f>
        <v>0</v>
      </c>
      <c r="AI28" s="65"/>
      <c r="AJ28" s="46"/>
      <c r="AR28" s="25" t="str">
        <f>'პარამეტრები'!E35</f>
        <v/>
      </c>
      <c r="AV28" s="25" t="str">
        <f>'პარამეტრები'!B35</f>
        <v/>
      </c>
      <c r="AX28" s="60"/>
      <c r="BF28" s="60"/>
      <c r="BG28" s="60"/>
      <c r="BH28" s="60"/>
    </row>
    <row r="29">
      <c r="B29" s="67"/>
      <c r="C29" s="65"/>
      <c r="D29" s="65"/>
      <c r="E29" s="65"/>
      <c r="F29" s="46"/>
      <c r="G29" s="68"/>
      <c r="H29" s="65"/>
      <c r="I29" s="46"/>
      <c r="J29" s="68">
        <f t="shared" si="1"/>
        <v>0</v>
      </c>
      <c r="K29" s="65"/>
      <c r="L29" s="46"/>
      <c r="M29" s="56"/>
      <c r="N29" s="67"/>
      <c r="O29" s="65"/>
      <c r="P29" s="65"/>
      <c r="Q29" s="65"/>
      <c r="R29" s="46"/>
      <c r="S29" s="68"/>
      <c r="T29" s="65"/>
      <c r="U29" s="46"/>
      <c r="V29" s="68">
        <f t="shared" si="2"/>
        <v>0</v>
      </c>
      <c r="W29" s="65"/>
      <c r="X29" s="46"/>
      <c r="Y29" s="56"/>
      <c r="Z29" s="67"/>
      <c r="AA29" s="65"/>
      <c r="AB29" s="65"/>
      <c r="AC29" s="65"/>
      <c r="AD29" s="46"/>
      <c r="AE29" s="68"/>
      <c r="AF29" s="65"/>
      <c r="AG29" s="46"/>
      <c r="AH29" s="68">
        <f t="shared" si="3"/>
        <v>0</v>
      </c>
      <c r="AI29" s="65"/>
      <c r="AJ29" s="46"/>
      <c r="AR29" s="25" t="str">
        <f>'პარამეტრები'!E36</f>
        <v/>
      </c>
      <c r="AV29" s="25" t="str">
        <f>'პარამეტრები'!B36</f>
        <v/>
      </c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</row>
    <row r="30">
      <c r="B30" s="67"/>
      <c r="C30" s="65"/>
      <c r="D30" s="65"/>
      <c r="E30" s="65"/>
      <c r="F30" s="46"/>
      <c r="G30" s="68"/>
      <c r="H30" s="65"/>
      <c r="I30" s="46"/>
      <c r="J30" s="68">
        <f t="shared" si="1"/>
        <v>0</v>
      </c>
      <c r="K30" s="65"/>
      <c r="L30" s="46"/>
      <c r="M30" s="56"/>
      <c r="N30" s="67"/>
      <c r="O30" s="65"/>
      <c r="P30" s="65"/>
      <c r="Q30" s="65"/>
      <c r="R30" s="46"/>
      <c r="S30" s="68"/>
      <c r="T30" s="65"/>
      <c r="U30" s="46"/>
      <c r="V30" s="68">
        <f t="shared" si="2"/>
        <v>0</v>
      </c>
      <c r="W30" s="65"/>
      <c r="X30" s="46"/>
      <c r="Y30" s="56"/>
      <c r="Z30" s="67"/>
      <c r="AA30" s="65"/>
      <c r="AB30" s="65"/>
      <c r="AC30" s="65"/>
      <c r="AD30" s="46"/>
      <c r="AE30" s="68"/>
      <c r="AF30" s="65"/>
      <c r="AG30" s="46"/>
      <c r="AH30" s="68">
        <f t="shared" si="3"/>
        <v>0</v>
      </c>
      <c r="AI30" s="65"/>
      <c r="AJ30" s="46"/>
      <c r="AR30" s="25" t="str">
        <f>'პარამეტრები'!E37</f>
        <v/>
      </c>
      <c r="AV30" s="25" t="str">
        <f>'პარამეტრები'!B37</f>
        <v/>
      </c>
      <c r="AZ30" s="25" t="str">
        <f t="shared" ref="AZ30:AZ35" si="4">'Настройка'!B32</f>
        <v>#REF!</v>
      </c>
    </row>
    <row r="31">
      <c r="B31" s="67"/>
      <c r="C31" s="65"/>
      <c r="D31" s="65"/>
      <c r="E31" s="65"/>
      <c r="F31" s="46"/>
      <c r="G31" s="68"/>
      <c r="H31" s="65"/>
      <c r="I31" s="46"/>
      <c r="J31" s="68">
        <f t="shared" si="1"/>
        <v>0</v>
      </c>
      <c r="K31" s="65"/>
      <c r="L31" s="46"/>
      <c r="M31" s="56"/>
      <c r="N31" s="67"/>
      <c r="O31" s="65"/>
      <c r="P31" s="65"/>
      <c r="Q31" s="65"/>
      <c r="R31" s="46"/>
      <c r="S31" s="68"/>
      <c r="T31" s="65"/>
      <c r="U31" s="46"/>
      <c r="V31" s="68">
        <f t="shared" si="2"/>
        <v>0</v>
      </c>
      <c r="W31" s="65"/>
      <c r="X31" s="46"/>
      <c r="Y31" s="56"/>
      <c r="Z31" s="67"/>
      <c r="AA31" s="65"/>
      <c r="AB31" s="65"/>
      <c r="AC31" s="65"/>
      <c r="AD31" s="46"/>
      <c r="AE31" s="68"/>
      <c r="AF31" s="65"/>
      <c r="AG31" s="46"/>
      <c r="AH31" s="68">
        <f t="shared" si="3"/>
        <v>0</v>
      </c>
      <c r="AI31" s="65"/>
      <c r="AJ31" s="46"/>
      <c r="AR31" s="25" t="str">
        <f>'პარამეტრები'!E38</f>
        <v/>
      </c>
      <c r="AV31" s="25" t="str">
        <f>'პარამეტრები'!B38</f>
        <v/>
      </c>
      <c r="AZ31" s="25" t="str">
        <f t="shared" si="4"/>
        <v>#REF!</v>
      </c>
    </row>
    <row r="32">
      <c r="B32" s="67"/>
      <c r="C32" s="65"/>
      <c r="D32" s="65"/>
      <c r="E32" s="65"/>
      <c r="F32" s="46"/>
      <c r="G32" s="68"/>
      <c r="H32" s="65"/>
      <c r="I32" s="46"/>
      <c r="J32" s="68">
        <f t="shared" si="1"/>
        <v>0</v>
      </c>
      <c r="K32" s="65"/>
      <c r="L32" s="46"/>
      <c r="M32" s="56"/>
      <c r="N32" s="67"/>
      <c r="O32" s="65"/>
      <c r="P32" s="65"/>
      <c r="Q32" s="65"/>
      <c r="R32" s="46"/>
      <c r="S32" s="68"/>
      <c r="T32" s="65"/>
      <c r="U32" s="46"/>
      <c r="V32" s="68">
        <f t="shared" si="2"/>
        <v>0</v>
      </c>
      <c r="W32" s="65"/>
      <c r="X32" s="46"/>
      <c r="Y32" s="56"/>
      <c r="Z32" s="67"/>
      <c r="AA32" s="65"/>
      <c r="AB32" s="65"/>
      <c r="AC32" s="65"/>
      <c r="AD32" s="46"/>
      <c r="AE32" s="68"/>
      <c r="AF32" s="65"/>
      <c r="AG32" s="46"/>
      <c r="AH32" s="68">
        <f t="shared" si="3"/>
        <v>0</v>
      </c>
      <c r="AI32" s="65"/>
      <c r="AJ32" s="46"/>
      <c r="AR32" s="25" t="str">
        <f>'პარამეტრები'!E39</f>
        <v/>
      </c>
      <c r="AV32" s="25" t="str">
        <f>'პარამეტრები'!B39</f>
        <v/>
      </c>
      <c r="AZ32" s="25" t="str">
        <f t="shared" si="4"/>
        <v>#REF!</v>
      </c>
    </row>
    <row r="33">
      <c r="B33" s="67"/>
      <c r="C33" s="65"/>
      <c r="D33" s="65"/>
      <c r="E33" s="65"/>
      <c r="F33" s="46"/>
      <c r="G33" s="68"/>
      <c r="H33" s="65"/>
      <c r="I33" s="46"/>
      <c r="J33" s="68">
        <f t="shared" si="1"/>
        <v>0</v>
      </c>
      <c r="K33" s="65"/>
      <c r="L33" s="46"/>
      <c r="M33" s="56"/>
      <c r="N33" s="67"/>
      <c r="O33" s="65"/>
      <c r="P33" s="65"/>
      <c r="Q33" s="65"/>
      <c r="R33" s="46"/>
      <c r="S33" s="68"/>
      <c r="T33" s="65"/>
      <c r="U33" s="46"/>
      <c r="V33" s="68">
        <f t="shared" si="2"/>
        <v>0</v>
      </c>
      <c r="W33" s="65"/>
      <c r="X33" s="46"/>
      <c r="Y33" s="56"/>
      <c r="Z33" s="67"/>
      <c r="AA33" s="65"/>
      <c r="AB33" s="65"/>
      <c r="AC33" s="65"/>
      <c r="AD33" s="46"/>
      <c r="AE33" s="68"/>
      <c r="AF33" s="65"/>
      <c r="AG33" s="46"/>
      <c r="AH33" s="68">
        <f t="shared" si="3"/>
        <v>0</v>
      </c>
      <c r="AI33" s="65"/>
      <c r="AJ33" s="46"/>
      <c r="AR33" s="25" t="str">
        <f>'პარამეტრები'!E40</f>
        <v/>
      </c>
      <c r="AV33" s="25" t="str">
        <f>'პარამეტრები'!B40</f>
        <v/>
      </c>
      <c r="AZ33" s="25" t="str">
        <f t="shared" si="4"/>
        <v>#REF!</v>
      </c>
    </row>
    <row r="34">
      <c r="B34" s="67"/>
      <c r="C34" s="65"/>
      <c r="D34" s="65"/>
      <c r="E34" s="65"/>
      <c r="F34" s="46"/>
      <c r="G34" s="68"/>
      <c r="H34" s="65"/>
      <c r="I34" s="46"/>
      <c r="J34" s="68">
        <f t="shared" si="1"/>
        <v>0</v>
      </c>
      <c r="K34" s="65"/>
      <c r="L34" s="46"/>
      <c r="M34" s="56"/>
      <c r="N34" s="67"/>
      <c r="O34" s="65"/>
      <c r="P34" s="65"/>
      <c r="Q34" s="65"/>
      <c r="R34" s="46"/>
      <c r="S34" s="68"/>
      <c r="T34" s="65"/>
      <c r="U34" s="46"/>
      <c r="V34" s="68">
        <f t="shared" si="2"/>
        <v>0</v>
      </c>
      <c r="W34" s="65"/>
      <c r="X34" s="46"/>
      <c r="Y34" s="56"/>
      <c r="Z34" s="67"/>
      <c r="AA34" s="65"/>
      <c r="AB34" s="65"/>
      <c r="AC34" s="65"/>
      <c r="AD34" s="46"/>
      <c r="AE34" s="68"/>
      <c r="AF34" s="65"/>
      <c r="AG34" s="46"/>
      <c r="AH34" s="68">
        <f t="shared" si="3"/>
        <v>0</v>
      </c>
      <c r="AI34" s="65"/>
      <c r="AJ34" s="46"/>
      <c r="AR34" s="25" t="str">
        <f>'პარამეტრები'!E41</f>
        <v/>
      </c>
      <c r="AV34" s="25" t="str">
        <f>'პარამეტრები'!B41</f>
        <v/>
      </c>
      <c r="AZ34" s="25" t="str">
        <f t="shared" si="4"/>
        <v>#REF!</v>
      </c>
    </row>
    <row r="35">
      <c r="B35" s="67"/>
      <c r="C35" s="65"/>
      <c r="D35" s="65"/>
      <c r="E35" s="65"/>
      <c r="F35" s="46"/>
      <c r="G35" s="68"/>
      <c r="H35" s="65"/>
      <c r="I35" s="46"/>
      <c r="J35" s="68">
        <f t="shared" si="1"/>
        <v>0</v>
      </c>
      <c r="K35" s="65"/>
      <c r="L35" s="46"/>
      <c r="M35" s="56"/>
      <c r="N35" s="67"/>
      <c r="O35" s="65"/>
      <c r="P35" s="65"/>
      <c r="Q35" s="65"/>
      <c r="R35" s="46"/>
      <c r="S35" s="68"/>
      <c r="T35" s="65"/>
      <c r="U35" s="46"/>
      <c r="V35" s="68">
        <f t="shared" si="2"/>
        <v>0</v>
      </c>
      <c r="W35" s="65"/>
      <c r="X35" s="46"/>
      <c r="Y35" s="56"/>
      <c r="Z35" s="67"/>
      <c r="AA35" s="65"/>
      <c r="AB35" s="65"/>
      <c r="AC35" s="65"/>
      <c r="AD35" s="46"/>
      <c r="AE35" s="68"/>
      <c r="AF35" s="65"/>
      <c r="AG35" s="46"/>
      <c r="AH35" s="68">
        <f t="shared" si="3"/>
        <v>0</v>
      </c>
      <c r="AI35" s="65"/>
      <c r="AJ35" s="46"/>
      <c r="AQ35" s="24" t="s">
        <v>71</v>
      </c>
      <c r="AR35" s="25" t="str">
        <f>'პარამეტრები'!G8</f>
        <v>სესხები</v>
      </c>
      <c r="AV35" s="25" t="str">
        <f>'პარამეტრები'!B42</f>
        <v/>
      </c>
      <c r="AZ35" s="25" t="str">
        <f t="shared" si="4"/>
        <v>#REF!</v>
      </c>
    </row>
    <row r="36">
      <c r="B36" s="67"/>
      <c r="C36" s="65"/>
      <c r="D36" s="65"/>
      <c r="E36" s="65"/>
      <c r="F36" s="46"/>
      <c r="G36" s="68"/>
      <c r="H36" s="65"/>
      <c r="I36" s="46"/>
      <c r="J36" s="68">
        <f t="shared" si="1"/>
        <v>0</v>
      </c>
      <c r="K36" s="65"/>
      <c r="L36" s="46"/>
      <c r="M36" s="56"/>
      <c r="N36" s="67"/>
      <c r="O36" s="65"/>
      <c r="P36" s="65"/>
      <c r="Q36" s="65"/>
      <c r="R36" s="46"/>
      <c r="S36" s="68"/>
      <c r="T36" s="65"/>
      <c r="U36" s="46"/>
      <c r="V36" s="68">
        <f t="shared" si="2"/>
        <v>0</v>
      </c>
      <c r="W36" s="65"/>
      <c r="X36" s="46"/>
      <c r="Y36" s="56"/>
      <c r="Z36" s="67"/>
      <c r="AA36" s="65"/>
      <c r="AB36" s="65"/>
      <c r="AC36" s="65"/>
      <c r="AD36" s="46"/>
      <c r="AE36" s="68"/>
      <c r="AF36" s="65"/>
      <c r="AG36" s="46"/>
      <c r="AH36" s="68">
        <f t="shared" si="3"/>
        <v>0</v>
      </c>
      <c r="AI36" s="65"/>
      <c r="AJ36" s="46"/>
      <c r="AR36" s="25" t="str">
        <f>'პარამეტრები'!G9</f>
        <v>ვალები</v>
      </c>
      <c r="AV36" s="25" t="str">
        <f>'პარამეტრები'!B43</f>
        <v/>
      </c>
    </row>
    <row r="37">
      <c r="B37" s="67"/>
      <c r="C37" s="65"/>
      <c r="D37" s="65"/>
      <c r="E37" s="65"/>
      <c r="F37" s="46"/>
      <c r="G37" s="68"/>
      <c r="H37" s="65"/>
      <c r="I37" s="46"/>
      <c r="J37" s="68">
        <f t="shared" si="1"/>
        <v>0</v>
      </c>
      <c r="K37" s="65"/>
      <c r="L37" s="46"/>
      <c r="M37" s="56"/>
      <c r="N37" s="67"/>
      <c r="O37" s="65"/>
      <c r="P37" s="65"/>
      <c r="Q37" s="65"/>
      <c r="R37" s="46"/>
      <c r="S37" s="68"/>
      <c r="T37" s="65"/>
      <c r="U37" s="46"/>
      <c r="V37" s="68">
        <f t="shared" si="2"/>
        <v>0</v>
      </c>
      <c r="W37" s="65"/>
      <c r="X37" s="46"/>
      <c r="Y37" s="56"/>
      <c r="Z37" s="67"/>
      <c r="AA37" s="65"/>
      <c r="AB37" s="65"/>
      <c r="AC37" s="65"/>
      <c r="AD37" s="46"/>
      <c r="AE37" s="68"/>
      <c r="AF37" s="65"/>
      <c r="AG37" s="46"/>
      <c r="AH37" s="68">
        <f t="shared" si="3"/>
        <v>0</v>
      </c>
      <c r="AI37" s="65"/>
      <c r="AJ37" s="46"/>
      <c r="AR37" s="25" t="str">
        <f>'პარამეტრები'!G10</f>
        <v>საკრედიტო ბარათები</v>
      </c>
      <c r="AV37" s="25" t="str">
        <f>'პარამეტრები'!B44</f>
        <v/>
      </c>
    </row>
    <row r="38">
      <c r="B38" s="67"/>
      <c r="C38" s="65"/>
      <c r="D38" s="65"/>
      <c r="E38" s="65"/>
      <c r="F38" s="46"/>
      <c r="G38" s="68"/>
      <c r="H38" s="65"/>
      <c r="I38" s="46"/>
      <c r="J38" s="68">
        <f t="shared" si="1"/>
        <v>0</v>
      </c>
      <c r="K38" s="65"/>
      <c r="L38" s="46"/>
      <c r="M38" s="56"/>
      <c r="N38" s="67"/>
      <c r="O38" s="65"/>
      <c r="P38" s="65"/>
      <c r="Q38" s="65"/>
      <c r="R38" s="46"/>
      <c r="S38" s="68"/>
      <c r="T38" s="65"/>
      <c r="U38" s="46"/>
      <c r="V38" s="68">
        <f t="shared" si="2"/>
        <v>0</v>
      </c>
      <c r="W38" s="65"/>
      <c r="X38" s="46"/>
      <c r="Y38" s="56"/>
      <c r="Z38" s="67"/>
      <c r="AA38" s="65"/>
      <c r="AB38" s="65"/>
      <c r="AC38" s="65"/>
      <c r="AD38" s="46"/>
      <c r="AE38" s="68"/>
      <c r="AF38" s="65"/>
      <c r="AG38" s="46"/>
      <c r="AH38" s="68">
        <f t="shared" si="3"/>
        <v>0</v>
      </c>
      <c r="AI38" s="65"/>
      <c r="AJ38" s="46"/>
      <c r="AR38" s="25" t="str">
        <f>'პარამეტრები'!G11</f>
        <v>იპოთეკა</v>
      </c>
      <c r="AV38" s="25" t="str">
        <f>'პარამეტრები'!B45</f>
        <v/>
      </c>
    </row>
    <row r="39">
      <c r="B39" s="67"/>
      <c r="C39" s="65"/>
      <c r="D39" s="65"/>
      <c r="E39" s="65"/>
      <c r="F39" s="46"/>
      <c r="G39" s="68"/>
      <c r="H39" s="65"/>
      <c r="I39" s="46"/>
      <c r="J39" s="68">
        <f t="shared" si="1"/>
        <v>0</v>
      </c>
      <c r="K39" s="65"/>
      <c r="L39" s="46"/>
      <c r="M39" s="56"/>
      <c r="N39" s="67"/>
      <c r="O39" s="65"/>
      <c r="P39" s="65"/>
      <c r="Q39" s="65"/>
      <c r="R39" s="46"/>
      <c r="S39" s="68"/>
      <c r="T39" s="65"/>
      <c r="U39" s="46"/>
      <c r="V39" s="68">
        <f t="shared" si="2"/>
        <v>0</v>
      </c>
      <c r="W39" s="65"/>
      <c r="X39" s="46"/>
      <c r="Y39" s="56"/>
      <c r="Z39" s="67"/>
      <c r="AA39" s="65"/>
      <c r="AB39" s="65"/>
      <c r="AC39" s="65"/>
      <c r="AD39" s="46"/>
      <c r="AE39" s="68"/>
      <c r="AF39" s="65"/>
      <c r="AG39" s="46"/>
      <c r="AH39" s="68">
        <f t="shared" si="3"/>
        <v>0</v>
      </c>
      <c r="AI39" s="65"/>
      <c r="AJ39" s="46"/>
      <c r="AR39" s="25" t="str">
        <f>'პარამეტრები'!G12</f>
        <v>ვალდებულებები</v>
      </c>
      <c r="AV39" s="25" t="str">
        <f>'პარამეტრები'!B46</f>
        <v/>
      </c>
    </row>
    <row r="40">
      <c r="B40" s="67" t="s">
        <v>80</v>
      </c>
      <c r="C40" s="65"/>
      <c r="D40" s="65"/>
      <c r="E40" s="65"/>
      <c r="F40" s="46"/>
      <c r="G40" s="68">
        <f>SUM(G28:I39)</f>
        <v>0</v>
      </c>
      <c r="H40" s="65"/>
      <c r="I40" s="46"/>
      <c r="J40" s="68">
        <f>SUM(J28:L39)</f>
        <v>0</v>
      </c>
      <c r="K40" s="65"/>
      <c r="L40" s="46"/>
      <c r="M40" s="56"/>
      <c r="N40" s="67" t="s">
        <v>80</v>
      </c>
      <c r="O40" s="65"/>
      <c r="P40" s="65"/>
      <c r="Q40" s="65"/>
      <c r="R40" s="46"/>
      <c r="S40" s="68">
        <f>SUM(S28:U39)</f>
        <v>0</v>
      </c>
      <c r="T40" s="65"/>
      <c r="U40" s="46"/>
      <c r="V40" s="68">
        <f>SUM(V28:X39)</f>
        <v>0</v>
      </c>
      <c r="W40" s="65"/>
      <c r="X40" s="46"/>
      <c r="Y40" s="56"/>
      <c r="Z40" s="67" t="s">
        <v>80</v>
      </c>
      <c r="AA40" s="65"/>
      <c r="AB40" s="65"/>
      <c r="AC40" s="65"/>
      <c r="AD40" s="46"/>
      <c r="AE40" s="68">
        <f>SUM(AE28:AG39)-AH40</f>
        <v>0</v>
      </c>
      <c r="AF40" s="65"/>
      <c r="AG40" s="46"/>
      <c r="AH40" s="68">
        <f>SUM(AH28:AJ39)</f>
        <v>0</v>
      </c>
      <c r="AI40" s="65"/>
      <c r="AJ40" s="46"/>
      <c r="AR40" s="25" t="str">
        <f>'პარამეტრები'!G13</f>
        <v/>
      </c>
      <c r="AV40" s="25" t="str">
        <f>'პარამეტრები'!B47</f>
        <v/>
      </c>
    </row>
    <row r="4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R41" s="25" t="str">
        <f>'პარამეტრები'!G14</f>
        <v/>
      </c>
    </row>
    <row r="42">
      <c r="B42" s="64" t="s">
        <v>81</v>
      </c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46"/>
      <c r="S42" s="69"/>
      <c r="T42" s="64" t="s">
        <v>82</v>
      </c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46"/>
      <c r="AR42" s="25" t="str">
        <f>'პარამეტრები'!G15</f>
        <v/>
      </c>
    </row>
    <row r="43">
      <c r="B43" s="66" t="s">
        <v>83</v>
      </c>
      <c r="C43" s="65"/>
      <c r="D43" s="46"/>
      <c r="E43" s="66" t="s">
        <v>84</v>
      </c>
      <c r="F43" s="65"/>
      <c r="G43" s="65"/>
      <c r="H43" s="65"/>
      <c r="I43" s="46"/>
      <c r="J43" s="66" t="s">
        <v>85</v>
      </c>
      <c r="K43" s="65"/>
      <c r="L43" s="46"/>
      <c r="M43" s="66" t="s">
        <v>86</v>
      </c>
      <c r="N43" s="65"/>
      <c r="O43" s="65"/>
      <c r="P43" s="65"/>
      <c r="Q43" s="65"/>
      <c r="R43" s="46"/>
      <c r="S43" s="69"/>
      <c r="T43" s="66" t="s">
        <v>83</v>
      </c>
      <c r="U43" s="65"/>
      <c r="V43" s="46"/>
      <c r="W43" s="66" t="s">
        <v>84</v>
      </c>
      <c r="X43" s="65"/>
      <c r="Y43" s="65"/>
      <c r="Z43" s="65"/>
      <c r="AA43" s="46"/>
      <c r="AB43" s="66" t="s">
        <v>85</v>
      </c>
      <c r="AC43" s="65"/>
      <c r="AD43" s="46"/>
      <c r="AE43" s="66" t="s">
        <v>86</v>
      </c>
      <c r="AF43" s="65"/>
      <c r="AG43" s="65"/>
      <c r="AH43" s="65"/>
      <c r="AI43" s="65"/>
      <c r="AJ43" s="46"/>
      <c r="AR43" s="25" t="str">
        <f>'პარამეტრები'!G16</f>
        <v/>
      </c>
    </row>
    <row r="44">
      <c r="B44" s="70"/>
      <c r="C44" s="65"/>
      <c r="D44" s="46"/>
      <c r="E44" s="67"/>
      <c r="F44" s="65"/>
      <c r="G44" s="65"/>
      <c r="H44" s="65"/>
      <c r="I44" s="46"/>
      <c r="J44" s="68"/>
      <c r="K44" s="65"/>
      <c r="L44" s="46"/>
      <c r="M44" s="71"/>
      <c r="N44" s="65"/>
      <c r="O44" s="65"/>
      <c r="P44" s="65"/>
      <c r="Q44" s="65"/>
      <c r="R44" s="46"/>
      <c r="S44" s="69"/>
      <c r="T44" s="70"/>
      <c r="U44" s="65"/>
      <c r="V44" s="46"/>
      <c r="W44" s="67"/>
      <c r="X44" s="65"/>
      <c r="Y44" s="65"/>
      <c r="Z44" s="65"/>
      <c r="AA44" s="46"/>
      <c r="AB44" s="68"/>
      <c r="AC44" s="65"/>
      <c r="AD44" s="46"/>
      <c r="AE44" s="71"/>
      <c r="AF44" s="65"/>
      <c r="AG44" s="65"/>
      <c r="AH44" s="65"/>
      <c r="AI44" s="65"/>
      <c r="AJ44" s="46"/>
      <c r="AR44" s="25" t="str">
        <f>'პარამეტრები'!G17</f>
        <v/>
      </c>
      <c r="AW44" s="33"/>
      <c r="AX44" s="33"/>
      <c r="AY44" s="33"/>
      <c r="AZ44" s="33"/>
      <c r="BA44" s="33"/>
      <c r="BB44" s="33"/>
      <c r="BC44" s="33"/>
      <c r="BD44" s="33"/>
      <c r="BE44" s="33"/>
    </row>
    <row r="45">
      <c r="B45" s="70"/>
      <c r="C45" s="65"/>
      <c r="D45" s="46"/>
      <c r="E45" s="67"/>
      <c r="F45" s="65"/>
      <c r="G45" s="65"/>
      <c r="H45" s="65"/>
      <c r="I45" s="46"/>
      <c r="J45" s="68"/>
      <c r="K45" s="65"/>
      <c r="L45" s="46"/>
      <c r="M45" s="71"/>
      <c r="N45" s="65"/>
      <c r="O45" s="65"/>
      <c r="P45" s="65"/>
      <c r="Q45" s="65"/>
      <c r="R45" s="46"/>
      <c r="S45" s="56"/>
      <c r="T45" s="70"/>
      <c r="U45" s="65"/>
      <c r="V45" s="46"/>
      <c r="W45" s="67"/>
      <c r="X45" s="65"/>
      <c r="Y45" s="65"/>
      <c r="Z45" s="65"/>
      <c r="AA45" s="46"/>
      <c r="AB45" s="68"/>
      <c r="AC45" s="65"/>
      <c r="AD45" s="46"/>
      <c r="AE45" s="71"/>
      <c r="AF45" s="65"/>
      <c r="AG45" s="65"/>
      <c r="AH45" s="65"/>
      <c r="AI45" s="65"/>
      <c r="AJ45" s="46"/>
      <c r="AR45" s="25" t="str">
        <f>'პარამეტრები'!G18</f>
        <v/>
      </c>
      <c r="AW45" s="33"/>
      <c r="AX45" s="33"/>
      <c r="AY45" s="33"/>
      <c r="AZ45" s="33"/>
      <c r="BA45" s="33"/>
      <c r="BB45" s="33"/>
      <c r="BC45" s="33"/>
      <c r="BD45" s="33"/>
      <c r="BE45" s="33"/>
    </row>
    <row r="46">
      <c r="B46" s="70"/>
      <c r="C46" s="65"/>
      <c r="D46" s="46"/>
      <c r="E46" s="67"/>
      <c r="F46" s="65"/>
      <c r="G46" s="65"/>
      <c r="H46" s="65"/>
      <c r="I46" s="46"/>
      <c r="J46" s="68"/>
      <c r="K46" s="65"/>
      <c r="L46" s="46"/>
      <c r="M46" s="71"/>
      <c r="N46" s="65"/>
      <c r="O46" s="65"/>
      <c r="P46" s="65"/>
      <c r="Q46" s="65"/>
      <c r="R46" s="46"/>
      <c r="S46" s="56"/>
      <c r="T46" s="70"/>
      <c r="U46" s="65"/>
      <c r="V46" s="46"/>
      <c r="W46" s="67"/>
      <c r="X46" s="65"/>
      <c r="Y46" s="65"/>
      <c r="Z46" s="65"/>
      <c r="AA46" s="46"/>
      <c r="AB46" s="68"/>
      <c r="AC46" s="65"/>
      <c r="AD46" s="46"/>
      <c r="AE46" s="71"/>
      <c r="AF46" s="65"/>
      <c r="AG46" s="65"/>
      <c r="AH46" s="65"/>
      <c r="AI46" s="65"/>
      <c r="AJ46" s="46"/>
      <c r="AR46" s="25" t="str">
        <f>'პარამეტრები'!G19</f>
        <v/>
      </c>
      <c r="AX46" s="33"/>
      <c r="AY46" s="33"/>
      <c r="AZ46" s="33"/>
      <c r="BA46" s="33"/>
      <c r="BB46" s="33"/>
      <c r="BC46" s="33"/>
      <c r="BD46" s="33"/>
      <c r="BE46" s="33"/>
    </row>
    <row r="47">
      <c r="B47" s="70"/>
      <c r="C47" s="65"/>
      <c r="D47" s="46"/>
      <c r="E47" s="67"/>
      <c r="F47" s="65"/>
      <c r="G47" s="65"/>
      <c r="H47" s="65"/>
      <c r="I47" s="46"/>
      <c r="J47" s="68"/>
      <c r="K47" s="65"/>
      <c r="L47" s="46"/>
      <c r="M47" s="71"/>
      <c r="N47" s="65"/>
      <c r="O47" s="65"/>
      <c r="P47" s="65"/>
      <c r="Q47" s="65"/>
      <c r="R47" s="46"/>
      <c r="S47" s="56"/>
      <c r="T47" s="70"/>
      <c r="U47" s="65"/>
      <c r="V47" s="46"/>
      <c r="W47" s="67"/>
      <c r="X47" s="65"/>
      <c r="Y47" s="65"/>
      <c r="Z47" s="65"/>
      <c r="AA47" s="46"/>
      <c r="AB47" s="68"/>
      <c r="AC47" s="65"/>
      <c r="AD47" s="46"/>
      <c r="AE47" s="71"/>
      <c r="AF47" s="65"/>
      <c r="AG47" s="65"/>
      <c r="AH47" s="65"/>
      <c r="AI47" s="65"/>
      <c r="AJ47" s="46"/>
      <c r="AR47" s="25" t="str">
        <f>'პარამეტრები'!G20</f>
        <v/>
      </c>
      <c r="AX47" s="33"/>
      <c r="AY47" s="33"/>
      <c r="AZ47" s="33"/>
      <c r="BA47" s="33"/>
      <c r="BB47" s="33"/>
      <c r="BC47" s="33"/>
      <c r="BD47" s="33"/>
      <c r="BE47" s="33"/>
    </row>
    <row r="48">
      <c r="B48" s="70"/>
      <c r="C48" s="65"/>
      <c r="D48" s="46"/>
      <c r="E48" s="67"/>
      <c r="F48" s="65"/>
      <c r="G48" s="65"/>
      <c r="H48" s="65"/>
      <c r="I48" s="46"/>
      <c r="J48" s="68"/>
      <c r="K48" s="65"/>
      <c r="L48" s="46"/>
      <c r="M48" s="67"/>
      <c r="N48" s="65"/>
      <c r="O48" s="65"/>
      <c r="P48" s="65"/>
      <c r="Q48" s="65"/>
      <c r="R48" s="46"/>
      <c r="S48" s="56"/>
      <c r="T48" s="70"/>
      <c r="U48" s="65"/>
      <c r="V48" s="46"/>
      <c r="W48" s="67"/>
      <c r="X48" s="65"/>
      <c r="Y48" s="65"/>
      <c r="Z48" s="65"/>
      <c r="AA48" s="46"/>
      <c r="AB48" s="68"/>
      <c r="AC48" s="65"/>
      <c r="AD48" s="46"/>
      <c r="AE48" s="67"/>
      <c r="AF48" s="65"/>
      <c r="AG48" s="65"/>
      <c r="AH48" s="65"/>
      <c r="AI48" s="65"/>
      <c r="AJ48" s="46"/>
      <c r="AR48" s="25" t="str">
        <f>'პარამეტრები'!G21</f>
        <v/>
      </c>
      <c r="AX48" s="33"/>
      <c r="AY48" s="33"/>
      <c r="AZ48" s="33"/>
      <c r="BA48" s="33"/>
      <c r="BB48" s="33"/>
      <c r="BC48" s="33"/>
      <c r="BD48" s="33"/>
      <c r="BE48" s="33"/>
    </row>
    <row r="49">
      <c r="B49" s="70"/>
      <c r="C49" s="65"/>
      <c r="D49" s="46"/>
      <c r="E49" s="67"/>
      <c r="F49" s="65"/>
      <c r="G49" s="65"/>
      <c r="H49" s="65"/>
      <c r="I49" s="46"/>
      <c r="J49" s="68"/>
      <c r="K49" s="65"/>
      <c r="L49" s="46"/>
      <c r="M49" s="67"/>
      <c r="N49" s="65"/>
      <c r="O49" s="65"/>
      <c r="P49" s="65"/>
      <c r="Q49" s="65"/>
      <c r="R49" s="46"/>
      <c r="S49" s="56"/>
      <c r="T49" s="70"/>
      <c r="U49" s="65"/>
      <c r="V49" s="46"/>
      <c r="W49" s="67"/>
      <c r="X49" s="65"/>
      <c r="Y49" s="65"/>
      <c r="Z49" s="65"/>
      <c r="AA49" s="46"/>
      <c r="AB49" s="68"/>
      <c r="AC49" s="65"/>
      <c r="AD49" s="46"/>
      <c r="AE49" s="67"/>
      <c r="AF49" s="65"/>
      <c r="AG49" s="65"/>
      <c r="AH49" s="65"/>
      <c r="AI49" s="65"/>
      <c r="AJ49" s="46"/>
      <c r="AR49" s="25" t="str">
        <f>'პარამეტრები'!G22</f>
        <v/>
      </c>
      <c r="AX49" s="33"/>
      <c r="AY49" s="33"/>
      <c r="AZ49" s="33"/>
      <c r="BA49" s="33"/>
      <c r="BB49" s="33"/>
      <c r="BC49" s="33"/>
      <c r="BD49" s="33"/>
      <c r="BE49" s="33"/>
    </row>
    <row r="50">
      <c r="B50" s="70"/>
      <c r="C50" s="65"/>
      <c r="D50" s="46"/>
      <c r="E50" s="67"/>
      <c r="F50" s="65"/>
      <c r="G50" s="65"/>
      <c r="H50" s="65"/>
      <c r="I50" s="46"/>
      <c r="J50" s="68"/>
      <c r="K50" s="65"/>
      <c r="L50" s="46"/>
      <c r="M50" s="71"/>
      <c r="N50" s="65"/>
      <c r="O50" s="65"/>
      <c r="P50" s="65"/>
      <c r="Q50" s="65"/>
      <c r="R50" s="46"/>
      <c r="S50" s="56"/>
      <c r="T50" s="70"/>
      <c r="U50" s="65"/>
      <c r="V50" s="46"/>
      <c r="W50" s="67"/>
      <c r="X50" s="65"/>
      <c r="Y50" s="65"/>
      <c r="Z50" s="65"/>
      <c r="AA50" s="46"/>
      <c r="AB50" s="72"/>
      <c r="AC50" s="65"/>
      <c r="AD50" s="46"/>
      <c r="AE50" s="71"/>
      <c r="AF50" s="65"/>
      <c r="AG50" s="65"/>
      <c r="AH50" s="65"/>
      <c r="AI50" s="65"/>
      <c r="AJ50" s="46"/>
      <c r="AR50" s="25" t="str">
        <f>'პარამეტრები'!G23</f>
        <v/>
      </c>
      <c r="AX50" s="33"/>
      <c r="AY50" s="33"/>
      <c r="AZ50" s="33"/>
      <c r="BA50" s="33"/>
      <c r="BB50" s="33"/>
      <c r="BC50" s="33"/>
      <c r="BD50" s="33"/>
      <c r="BE50" s="33"/>
    </row>
    <row r="51">
      <c r="B51" s="70"/>
      <c r="C51" s="65"/>
      <c r="D51" s="46"/>
      <c r="E51" s="67"/>
      <c r="F51" s="65"/>
      <c r="G51" s="65"/>
      <c r="H51" s="65"/>
      <c r="I51" s="46"/>
      <c r="J51" s="68"/>
      <c r="K51" s="65"/>
      <c r="L51" s="46"/>
      <c r="M51" s="71"/>
      <c r="N51" s="65"/>
      <c r="O51" s="65"/>
      <c r="P51" s="65"/>
      <c r="Q51" s="65"/>
      <c r="R51" s="46"/>
      <c r="S51" s="56"/>
      <c r="T51" s="70"/>
      <c r="U51" s="65"/>
      <c r="V51" s="46"/>
      <c r="W51" s="71"/>
      <c r="X51" s="65"/>
      <c r="Y51" s="65"/>
      <c r="Z51" s="65"/>
      <c r="AA51" s="46"/>
      <c r="AB51" s="72"/>
      <c r="AC51" s="65"/>
      <c r="AD51" s="46"/>
      <c r="AE51" s="71"/>
      <c r="AF51" s="65"/>
      <c r="AG51" s="65"/>
      <c r="AH51" s="65"/>
      <c r="AI51" s="65"/>
      <c r="AJ51" s="46"/>
      <c r="AR51" s="25" t="str">
        <f>'პარამეტრები'!G24</f>
        <v/>
      </c>
      <c r="AX51" s="33"/>
      <c r="AY51" s="33"/>
      <c r="AZ51" s="33"/>
      <c r="BA51" s="33"/>
      <c r="BB51" s="33"/>
      <c r="BC51" s="33"/>
      <c r="BD51" s="33"/>
      <c r="BE51" s="33"/>
    </row>
    <row r="52">
      <c r="B52" s="70"/>
      <c r="C52" s="65"/>
      <c r="D52" s="46"/>
      <c r="E52" s="67"/>
      <c r="F52" s="65"/>
      <c r="G52" s="65"/>
      <c r="H52" s="65"/>
      <c r="I52" s="46"/>
      <c r="J52" s="68"/>
      <c r="K52" s="65"/>
      <c r="L52" s="46"/>
      <c r="M52" s="71"/>
      <c r="N52" s="65"/>
      <c r="O52" s="65"/>
      <c r="P52" s="65"/>
      <c r="Q52" s="65"/>
      <c r="R52" s="46"/>
      <c r="S52" s="56"/>
      <c r="T52" s="70"/>
      <c r="U52" s="65"/>
      <c r="V52" s="46"/>
      <c r="W52" s="71"/>
      <c r="X52" s="65"/>
      <c r="Y52" s="65"/>
      <c r="Z52" s="65"/>
      <c r="AA52" s="46"/>
      <c r="AB52" s="72"/>
      <c r="AC52" s="65"/>
      <c r="AD52" s="46"/>
      <c r="AE52" s="71"/>
      <c r="AF52" s="65"/>
      <c r="AG52" s="65"/>
      <c r="AH52" s="65"/>
      <c r="AI52" s="65"/>
      <c r="AJ52" s="46"/>
      <c r="AR52" s="25" t="str">
        <f>'პარამეტრები'!G25</f>
        <v/>
      </c>
      <c r="AX52" s="33"/>
      <c r="AY52" s="33"/>
      <c r="AZ52" s="33"/>
      <c r="BA52" s="33"/>
      <c r="BB52" s="33"/>
      <c r="BC52" s="33"/>
      <c r="BD52" s="33"/>
      <c r="BE52" s="33"/>
    </row>
    <row r="53">
      <c r="B53" s="70"/>
      <c r="C53" s="65"/>
      <c r="D53" s="46"/>
      <c r="E53" s="67"/>
      <c r="F53" s="65"/>
      <c r="G53" s="65"/>
      <c r="H53" s="65"/>
      <c r="I53" s="46"/>
      <c r="J53" s="68"/>
      <c r="K53" s="65"/>
      <c r="L53" s="46"/>
      <c r="M53" s="71"/>
      <c r="N53" s="65"/>
      <c r="O53" s="65"/>
      <c r="P53" s="65"/>
      <c r="Q53" s="65"/>
      <c r="R53" s="46"/>
      <c r="S53" s="56"/>
      <c r="T53" s="70"/>
      <c r="U53" s="65"/>
      <c r="V53" s="46"/>
      <c r="W53" s="71"/>
      <c r="X53" s="65"/>
      <c r="Y53" s="65"/>
      <c r="Z53" s="65"/>
      <c r="AA53" s="46"/>
      <c r="AB53" s="72"/>
      <c r="AC53" s="65"/>
      <c r="AD53" s="46"/>
      <c r="AE53" s="71"/>
      <c r="AF53" s="65"/>
      <c r="AG53" s="65"/>
      <c r="AH53" s="65"/>
      <c r="AI53" s="65"/>
      <c r="AJ53" s="46"/>
      <c r="AR53" s="25" t="str">
        <f>'პარამეტრები'!G26</f>
        <v/>
      </c>
      <c r="AX53" s="33"/>
      <c r="AY53" s="33"/>
      <c r="AZ53" s="33"/>
      <c r="BA53" s="33"/>
      <c r="BB53" s="33"/>
      <c r="BC53" s="33"/>
      <c r="BD53" s="33"/>
      <c r="BE53" s="33"/>
    </row>
    <row r="54">
      <c r="B54" s="70"/>
      <c r="C54" s="65"/>
      <c r="D54" s="46"/>
      <c r="E54" s="67"/>
      <c r="F54" s="65"/>
      <c r="G54" s="65"/>
      <c r="H54" s="65"/>
      <c r="I54" s="46"/>
      <c r="J54" s="72"/>
      <c r="K54" s="65"/>
      <c r="L54" s="46"/>
      <c r="M54" s="71"/>
      <c r="N54" s="65"/>
      <c r="O54" s="65"/>
      <c r="P54" s="65"/>
      <c r="Q54" s="65"/>
      <c r="R54" s="46"/>
      <c r="S54" s="56"/>
      <c r="T54" s="70"/>
      <c r="U54" s="65"/>
      <c r="V54" s="46"/>
      <c r="W54" s="71"/>
      <c r="X54" s="65"/>
      <c r="Y54" s="65"/>
      <c r="Z54" s="65"/>
      <c r="AA54" s="46"/>
      <c r="AB54" s="72"/>
      <c r="AC54" s="65"/>
      <c r="AD54" s="46"/>
      <c r="AE54" s="71"/>
      <c r="AF54" s="65"/>
      <c r="AG54" s="65"/>
      <c r="AH54" s="65"/>
      <c r="AI54" s="65"/>
      <c r="AJ54" s="46"/>
      <c r="AR54" s="25" t="str">
        <f>'პარამეტრები'!G27</f>
        <v/>
      </c>
      <c r="AX54" s="33"/>
      <c r="AY54" s="33"/>
      <c r="AZ54" s="33"/>
      <c r="BA54" s="33"/>
      <c r="BB54" s="33"/>
      <c r="BC54" s="33"/>
      <c r="BD54" s="33"/>
      <c r="BE54" s="33"/>
    </row>
    <row r="55">
      <c r="B55" s="70"/>
      <c r="C55" s="65"/>
      <c r="D55" s="46"/>
      <c r="E55" s="71"/>
      <c r="F55" s="65"/>
      <c r="G55" s="65"/>
      <c r="H55" s="65"/>
      <c r="I55" s="46"/>
      <c r="J55" s="72"/>
      <c r="K55" s="65"/>
      <c r="L55" s="46"/>
      <c r="M55" s="71"/>
      <c r="N55" s="65"/>
      <c r="O55" s="65"/>
      <c r="P55" s="65"/>
      <c r="Q55" s="65"/>
      <c r="R55" s="46"/>
      <c r="S55" s="56"/>
      <c r="T55" s="70"/>
      <c r="U55" s="65"/>
      <c r="V55" s="46"/>
      <c r="W55" s="71"/>
      <c r="X55" s="65"/>
      <c r="Y55" s="65"/>
      <c r="Z55" s="65"/>
      <c r="AA55" s="46"/>
      <c r="AB55" s="72"/>
      <c r="AC55" s="65"/>
      <c r="AD55" s="46"/>
      <c r="AE55" s="71"/>
      <c r="AF55" s="65"/>
      <c r="AG55" s="65"/>
      <c r="AH55" s="65"/>
      <c r="AI55" s="65"/>
      <c r="AJ55" s="46"/>
      <c r="AR55" s="25" t="str">
        <f>'პარამეტრები'!G28</f>
        <v/>
      </c>
      <c r="AX55" s="33"/>
      <c r="AY55" s="33"/>
      <c r="AZ55" s="33"/>
      <c r="BA55" s="33"/>
      <c r="BB55" s="33"/>
      <c r="BC55" s="33"/>
      <c r="BD55" s="33"/>
      <c r="BE55" s="33"/>
    </row>
    <row r="56">
      <c r="B56" s="70"/>
      <c r="C56" s="65"/>
      <c r="D56" s="46"/>
      <c r="E56" s="71"/>
      <c r="F56" s="65"/>
      <c r="G56" s="65"/>
      <c r="H56" s="65"/>
      <c r="I56" s="46"/>
      <c r="J56" s="72"/>
      <c r="K56" s="65"/>
      <c r="L56" s="46"/>
      <c r="M56" s="71"/>
      <c r="N56" s="65"/>
      <c r="O56" s="65"/>
      <c r="P56" s="65"/>
      <c r="Q56" s="65"/>
      <c r="R56" s="46"/>
      <c r="S56" s="56"/>
      <c r="T56" s="70"/>
      <c r="U56" s="65"/>
      <c r="V56" s="46"/>
      <c r="W56" s="71"/>
      <c r="X56" s="65"/>
      <c r="Y56" s="65"/>
      <c r="Z56" s="65"/>
      <c r="AA56" s="46"/>
      <c r="AB56" s="72"/>
      <c r="AC56" s="65"/>
      <c r="AD56" s="46"/>
      <c r="AE56" s="71"/>
      <c r="AF56" s="65"/>
      <c r="AG56" s="65"/>
      <c r="AH56" s="65"/>
      <c r="AI56" s="65"/>
      <c r="AJ56" s="46"/>
      <c r="AR56" s="25" t="str">
        <f>'პარამეტრები'!G29</f>
        <v/>
      </c>
      <c r="AX56" s="33"/>
      <c r="AY56" s="33"/>
      <c r="AZ56" s="33"/>
      <c r="BA56" s="33"/>
      <c r="BB56" s="33"/>
      <c r="BC56" s="33"/>
      <c r="BD56" s="33"/>
      <c r="BE56" s="33"/>
    </row>
    <row r="57">
      <c r="B57" s="70"/>
      <c r="C57" s="65"/>
      <c r="D57" s="46"/>
      <c r="E57" s="71"/>
      <c r="F57" s="65"/>
      <c r="G57" s="65"/>
      <c r="H57" s="65"/>
      <c r="I57" s="46"/>
      <c r="J57" s="72"/>
      <c r="K57" s="65"/>
      <c r="L57" s="46"/>
      <c r="M57" s="71"/>
      <c r="N57" s="65"/>
      <c r="O57" s="65"/>
      <c r="P57" s="65"/>
      <c r="Q57" s="65"/>
      <c r="R57" s="46"/>
      <c r="S57" s="56"/>
      <c r="T57" s="70"/>
      <c r="U57" s="65"/>
      <c r="V57" s="46"/>
      <c r="W57" s="71"/>
      <c r="X57" s="65"/>
      <c r="Y57" s="65"/>
      <c r="Z57" s="65"/>
      <c r="AA57" s="46"/>
      <c r="AB57" s="72"/>
      <c r="AC57" s="65"/>
      <c r="AD57" s="46"/>
      <c r="AE57" s="71"/>
      <c r="AF57" s="65"/>
      <c r="AG57" s="65"/>
      <c r="AH57" s="65"/>
      <c r="AI57" s="65"/>
      <c r="AJ57" s="46"/>
      <c r="AR57" s="25" t="str">
        <f>'პარამეტრები'!G30</f>
        <v/>
      </c>
      <c r="AX57" s="33"/>
      <c r="AY57" s="33"/>
      <c r="AZ57" s="33"/>
      <c r="BA57" s="33"/>
      <c r="BB57" s="33"/>
      <c r="BC57" s="33"/>
      <c r="BD57" s="33"/>
      <c r="BE57" s="33"/>
    </row>
    <row r="58">
      <c r="B58" s="70"/>
      <c r="C58" s="65"/>
      <c r="D58" s="46"/>
      <c r="E58" s="71"/>
      <c r="F58" s="65"/>
      <c r="G58" s="65"/>
      <c r="H58" s="65"/>
      <c r="I58" s="46"/>
      <c r="J58" s="72"/>
      <c r="K58" s="65"/>
      <c r="L58" s="46"/>
      <c r="M58" s="71"/>
      <c r="N58" s="65"/>
      <c r="O58" s="65"/>
      <c r="P58" s="65"/>
      <c r="Q58" s="65"/>
      <c r="R58" s="46"/>
      <c r="S58" s="56"/>
      <c r="T58" s="70"/>
      <c r="U58" s="65"/>
      <c r="V58" s="46"/>
      <c r="W58" s="71"/>
      <c r="X58" s="65"/>
      <c r="Y58" s="65"/>
      <c r="Z58" s="65"/>
      <c r="AA58" s="46"/>
      <c r="AB58" s="72"/>
      <c r="AC58" s="65"/>
      <c r="AD58" s="46"/>
      <c r="AE58" s="71"/>
      <c r="AF58" s="65"/>
      <c r="AG58" s="65"/>
      <c r="AH58" s="65"/>
      <c r="AI58" s="65"/>
      <c r="AJ58" s="46"/>
      <c r="AR58" s="25" t="str">
        <f>'პარამეტრები'!G31</f>
        <v/>
      </c>
      <c r="AX58" s="33"/>
      <c r="AY58" s="33"/>
      <c r="AZ58" s="33"/>
      <c r="BA58" s="33"/>
      <c r="BB58" s="33"/>
      <c r="BC58" s="33"/>
      <c r="BD58" s="33"/>
      <c r="BE58" s="33"/>
    </row>
    <row r="59">
      <c r="B59" s="70"/>
      <c r="C59" s="65"/>
      <c r="D59" s="46"/>
      <c r="E59" s="71"/>
      <c r="F59" s="65"/>
      <c r="G59" s="65"/>
      <c r="H59" s="65"/>
      <c r="I59" s="46"/>
      <c r="J59" s="72"/>
      <c r="K59" s="65"/>
      <c r="L59" s="46"/>
      <c r="M59" s="71"/>
      <c r="N59" s="65"/>
      <c r="O59" s="65"/>
      <c r="P59" s="65"/>
      <c r="Q59" s="65"/>
      <c r="R59" s="46"/>
      <c r="S59" s="56"/>
      <c r="T59" s="70"/>
      <c r="U59" s="65"/>
      <c r="V59" s="46"/>
      <c r="W59" s="71"/>
      <c r="X59" s="65"/>
      <c r="Y59" s="65"/>
      <c r="Z59" s="65"/>
      <c r="AA59" s="46"/>
      <c r="AB59" s="72"/>
      <c r="AC59" s="65"/>
      <c r="AD59" s="46"/>
      <c r="AE59" s="71"/>
      <c r="AF59" s="65"/>
      <c r="AG59" s="65"/>
      <c r="AH59" s="65"/>
      <c r="AI59" s="65"/>
      <c r="AJ59" s="46"/>
      <c r="AR59" s="25" t="str">
        <f>'პარამეტრები'!G32</f>
        <v/>
      </c>
      <c r="AX59" s="33"/>
      <c r="AY59" s="33"/>
      <c r="AZ59" s="33"/>
      <c r="BA59" s="33"/>
      <c r="BB59" s="33"/>
      <c r="BC59" s="33"/>
      <c r="BD59" s="33"/>
      <c r="BE59" s="33"/>
    </row>
    <row r="60">
      <c r="B60" s="70"/>
      <c r="C60" s="65"/>
      <c r="D60" s="46"/>
      <c r="E60" s="71"/>
      <c r="F60" s="65"/>
      <c r="G60" s="65"/>
      <c r="H60" s="65"/>
      <c r="I60" s="46"/>
      <c r="J60" s="72"/>
      <c r="K60" s="65"/>
      <c r="L60" s="46"/>
      <c r="M60" s="71"/>
      <c r="N60" s="65"/>
      <c r="O60" s="65"/>
      <c r="P60" s="65"/>
      <c r="Q60" s="65"/>
      <c r="R60" s="46"/>
      <c r="S60" s="56"/>
      <c r="T60" s="70"/>
      <c r="U60" s="65"/>
      <c r="V60" s="46"/>
      <c r="W60" s="71"/>
      <c r="X60" s="65"/>
      <c r="Y60" s="65"/>
      <c r="Z60" s="65"/>
      <c r="AA60" s="46"/>
      <c r="AB60" s="72"/>
      <c r="AC60" s="65"/>
      <c r="AD60" s="46"/>
      <c r="AE60" s="71"/>
      <c r="AF60" s="65"/>
      <c r="AG60" s="65"/>
      <c r="AH60" s="65"/>
      <c r="AI60" s="65"/>
      <c r="AJ60" s="46"/>
      <c r="AR60" s="25" t="str">
        <f>'პარამეტრები'!G33</f>
        <v/>
      </c>
      <c r="AX60" s="33"/>
      <c r="AY60" s="33"/>
      <c r="AZ60" s="33"/>
      <c r="BA60" s="33"/>
      <c r="BB60" s="33"/>
      <c r="BC60" s="33"/>
      <c r="BD60" s="33"/>
      <c r="BE60" s="33"/>
    </row>
    <row r="61">
      <c r="B61" s="70"/>
      <c r="C61" s="65"/>
      <c r="D61" s="46"/>
      <c r="E61" s="71"/>
      <c r="F61" s="65"/>
      <c r="G61" s="65"/>
      <c r="H61" s="65"/>
      <c r="I61" s="46"/>
      <c r="J61" s="72"/>
      <c r="K61" s="65"/>
      <c r="L61" s="46"/>
      <c r="M61" s="71"/>
      <c r="N61" s="65"/>
      <c r="O61" s="65"/>
      <c r="P61" s="65"/>
      <c r="Q61" s="65"/>
      <c r="R61" s="46"/>
      <c r="S61" s="56"/>
      <c r="T61" s="70"/>
      <c r="U61" s="65"/>
      <c r="V61" s="46"/>
      <c r="W61" s="71"/>
      <c r="X61" s="65"/>
      <c r="Y61" s="65"/>
      <c r="Z61" s="65"/>
      <c r="AA61" s="46"/>
      <c r="AB61" s="72"/>
      <c r="AC61" s="65"/>
      <c r="AD61" s="46"/>
      <c r="AE61" s="71"/>
      <c r="AF61" s="65"/>
      <c r="AG61" s="65"/>
      <c r="AH61" s="65"/>
      <c r="AI61" s="65"/>
      <c r="AJ61" s="46"/>
      <c r="AR61" s="25" t="str">
        <f>'პარამეტრები'!G34</f>
        <v/>
      </c>
      <c r="AX61" s="33"/>
      <c r="AY61" s="33"/>
      <c r="AZ61" s="33"/>
      <c r="BA61" s="33"/>
      <c r="BB61" s="33"/>
      <c r="BC61" s="33"/>
      <c r="BD61" s="33"/>
      <c r="BE61" s="33"/>
    </row>
    <row r="62">
      <c r="B62" s="70"/>
      <c r="C62" s="65"/>
      <c r="D62" s="46"/>
      <c r="E62" s="71"/>
      <c r="F62" s="65"/>
      <c r="G62" s="65"/>
      <c r="H62" s="65"/>
      <c r="I62" s="46"/>
      <c r="J62" s="72"/>
      <c r="K62" s="65"/>
      <c r="L62" s="46"/>
      <c r="M62" s="71"/>
      <c r="N62" s="65"/>
      <c r="O62" s="65"/>
      <c r="P62" s="65"/>
      <c r="Q62" s="65"/>
      <c r="R62" s="46"/>
      <c r="S62" s="56"/>
      <c r="T62" s="70"/>
      <c r="U62" s="65"/>
      <c r="V62" s="46"/>
      <c r="W62" s="71"/>
      <c r="X62" s="65"/>
      <c r="Y62" s="65"/>
      <c r="Z62" s="65"/>
      <c r="AA62" s="46"/>
      <c r="AB62" s="72"/>
      <c r="AC62" s="65"/>
      <c r="AD62" s="46"/>
      <c r="AE62" s="71"/>
      <c r="AF62" s="65"/>
      <c r="AG62" s="65"/>
      <c r="AH62" s="65"/>
      <c r="AI62" s="65"/>
      <c r="AJ62" s="46"/>
      <c r="AR62" s="25" t="str">
        <f>'პარამეტრები'!G35</f>
        <v/>
      </c>
      <c r="AX62" s="33"/>
      <c r="AY62" s="33"/>
      <c r="AZ62" s="33"/>
      <c r="BA62" s="33"/>
      <c r="BB62" s="33"/>
      <c r="BC62" s="33"/>
      <c r="BD62" s="33"/>
      <c r="BE62" s="33"/>
    </row>
    <row r="63">
      <c r="B63" s="70"/>
      <c r="C63" s="65"/>
      <c r="D63" s="46"/>
      <c r="E63" s="71"/>
      <c r="F63" s="65"/>
      <c r="G63" s="65"/>
      <c r="H63" s="65"/>
      <c r="I63" s="46"/>
      <c r="J63" s="72"/>
      <c r="K63" s="65"/>
      <c r="L63" s="46"/>
      <c r="M63" s="71"/>
      <c r="N63" s="65"/>
      <c r="O63" s="65"/>
      <c r="P63" s="65"/>
      <c r="Q63" s="65"/>
      <c r="R63" s="46"/>
      <c r="S63" s="56"/>
      <c r="T63" s="70"/>
      <c r="U63" s="65"/>
      <c r="V63" s="46"/>
      <c r="W63" s="71"/>
      <c r="X63" s="65"/>
      <c r="Y63" s="65"/>
      <c r="Z63" s="65"/>
      <c r="AA63" s="46"/>
      <c r="AB63" s="72"/>
      <c r="AC63" s="65"/>
      <c r="AD63" s="46"/>
      <c r="AE63" s="71"/>
      <c r="AF63" s="65"/>
      <c r="AG63" s="65"/>
      <c r="AH63" s="65"/>
      <c r="AI63" s="65"/>
      <c r="AJ63" s="46"/>
      <c r="AR63" s="25" t="str">
        <f>'პარამეტრები'!G36</f>
        <v/>
      </c>
      <c r="AX63" s="33"/>
      <c r="AY63" s="33"/>
      <c r="AZ63" s="33"/>
      <c r="BA63" s="33"/>
      <c r="BB63" s="33"/>
      <c r="BC63" s="33"/>
      <c r="BD63" s="33"/>
      <c r="BE63" s="33"/>
    </row>
    <row r="64">
      <c r="B64" s="70"/>
      <c r="C64" s="65"/>
      <c r="D64" s="46"/>
      <c r="E64" s="71"/>
      <c r="F64" s="65"/>
      <c r="G64" s="65"/>
      <c r="H64" s="65"/>
      <c r="I64" s="46"/>
      <c r="J64" s="72"/>
      <c r="K64" s="65"/>
      <c r="L64" s="46"/>
      <c r="M64" s="71"/>
      <c r="N64" s="65"/>
      <c r="O64" s="65"/>
      <c r="P64" s="65"/>
      <c r="Q64" s="65"/>
      <c r="R64" s="46"/>
      <c r="S64" s="56"/>
      <c r="T64" s="70"/>
      <c r="U64" s="65"/>
      <c r="V64" s="46"/>
      <c r="W64" s="71"/>
      <c r="X64" s="65"/>
      <c r="Y64" s="65"/>
      <c r="Z64" s="65"/>
      <c r="AA64" s="46"/>
      <c r="AB64" s="72"/>
      <c r="AC64" s="65"/>
      <c r="AD64" s="46"/>
      <c r="AE64" s="71"/>
      <c r="AF64" s="65"/>
      <c r="AG64" s="65"/>
      <c r="AH64" s="65"/>
      <c r="AI64" s="65"/>
      <c r="AJ64" s="46"/>
      <c r="AR64" s="25" t="str">
        <f>'პარამეტრები'!G37</f>
        <v/>
      </c>
      <c r="AX64" s="33"/>
      <c r="AY64" s="33"/>
      <c r="AZ64" s="33"/>
      <c r="BA64" s="33"/>
      <c r="BB64" s="33"/>
      <c r="BC64" s="33"/>
      <c r="BD64" s="33"/>
      <c r="BE64" s="33"/>
    </row>
    <row r="65">
      <c r="B65" s="70"/>
      <c r="C65" s="65"/>
      <c r="D65" s="46"/>
      <c r="E65" s="71"/>
      <c r="F65" s="65"/>
      <c r="G65" s="65"/>
      <c r="H65" s="65"/>
      <c r="I65" s="46"/>
      <c r="J65" s="72"/>
      <c r="K65" s="65"/>
      <c r="L65" s="46"/>
      <c r="M65" s="71"/>
      <c r="N65" s="65"/>
      <c r="O65" s="65"/>
      <c r="P65" s="65"/>
      <c r="Q65" s="65"/>
      <c r="R65" s="46"/>
      <c r="S65" s="56"/>
      <c r="T65" s="70"/>
      <c r="U65" s="65"/>
      <c r="V65" s="46"/>
      <c r="W65" s="71"/>
      <c r="X65" s="65"/>
      <c r="Y65" s="65"/>
      <c r="Z65" s="65"/>
      <c r="AA65" s="46"/>
      <c r="AB65" s="72"/>
      <c r="AC65" s="65"/>
      <c r="AD65" s="46"/>
      <c r="AE65" s="71"/>
      <c r="AF65" s="65"/>
      <c r="AG65" s="65"/>
      <c r="AH65" s="65"/>
      <c r="AI65" s="65"/>
      <c r="AJ65" s="46"/>
      <c r="AX65" s="33"/>
      <c r="AY65" s="33"/>
      <c r="AZ65" s="33"/>
      <c r="BA65" s="33"/>
      <c r="BB65" s="33"/>
      <c r="BC65" s="33"/>
      <c r="BD65" s="33"/>
      <c r="BE65" s="33"/>
    </row>
    <row r="66">
      <c r="B66" s="70"/>
      <c r="C66" s="65"/>
      <c r="D66" s="46"/>
      <c r="E66" s="71"/>
      <c r="F66" s="65"/>
      <c r="G66" s="65"/>
      <c r="H66" s="65"/>
      <c r="I66" s="46"/>
      <c r="J66" s="72"/>
      <c r="K66" s="65"/>
      <c r="L66" s="46"/>
      <c r="M66" s="71"/>
      <c r="N66" s="65"/>
      <c r="O66" s="65"/>
      <c r="P66" s="65"/>
      <c r="Q66" s="65"/>
      <c r="R66" s="46"/>
      <c r="S66" s="56"/>
      <c r="T66" s="70"/>
      <c r="U66" s="65"/>
      <c r="V66" s="46"/>
      <c r="W66" s="71"/>
      <c r="X66" s="65"/>
      <c r="Y66" s="65"/>
      <c r="Z66" s="65"/>
      <c r="AA66" s="46"/>
      <c r="AB66" s="72"/>
      <c r="AC66" s="65"/>
      <c r="AD66" s="46"/>
      <c r="AE66" s="71"/>
      <c r="AF66" s="65"/>
      <c r="AG66" s="65"/>
      <c r="AH66" s="65"/>
      <c r="AI66" s="65"/>
      <c r="AJ66" s="46"/>
      <c r="AX66" s="33"/>
      <c r="AY66" s="33"/>
      <c r="AZ66" s="33"/>
      <c r="BA66" s="33"/>
      <c r="BB66" s="33"/>
      <c r="BC66" s="33"/>
      <c r="BD66" s="33"/>
      <c r="BE66" s="33"/>
    </row>
    <row r="67">
      <c r="B67" s="70"/>
      <c r="C67" s="65"/>
      <c r="D67" s="46"/>
      <c r="E67" s="71"/>
      <c r="F67" s="65"/>
      <c r="G67" s="65"/>
      <c r="H67" s="65"/>
      <c r="I67" s="46"/>
      <c r="J67" s="72"/>
      <c r="K67" s="65"/>
      <c r="L67" s="46"/>
      <c r="M67" s="71"/>
      <c r="N67" s="65"/>
      <c r="O67" s="65"/>
      <c r="P67" s="65"/>
      <c r="Q67" s="65"/>
      <c r="R67" s="46"/>
      <c r="S67" s="56"/>
      <c r="T67" s="70"/>
      <c r="U67" s="65"/>
      <c r="V67" s="46"/>
      <c r="W67" s="71"/>
      <c r="X67" s="65"/>
      <c r="Y67" s="65"/>
      <c r="Z67" s="65"/>
      <c r="AA67" s="46"/>
      <c r="AB67" s="72"/>
      <c r="AC67" s="65"/>
      <c r="AD67" s="46"/>
      <c r="AE67" s="71"/>
      <c r="AF67" s="65"/>
      <c r="AG67" s="65"/>
      <c r="AH67" s="65"/>
      <c r="AI67" s="65"/>
      <c r="AJ67" s="46"/>
      <c r="AX67" s="33"/>
      <c r="AY67" s="33"/>
      <c r="AZ67" s="33"/>
      <c r="BA67" s="33"/>
      <c r="BB67" s="33"/>
      <c r="BC67" s="33"/>
      <c r="BD67" s="33"/>
      <c r="BE67" s="33"/>
    </row>
    <row r="68">
      <c r="B68" s="70"/>
      <c r="C68" s="65"/>
      <c r="D68" s="46"/>
      <c r="E68" s="71"/>
      <c r="F68" s="65"/>
      <c r="G68" s="65"/>
      <c r="H68" s="65"/>
      <c r="I68" s="46"/>
      <c r="J68" s="72"/>
      <c r="K68" s="65"/>
      <c r="L68" s="46"/>
      <c r="M68" s="71"/>
      <c r="N68" s="65"/>
      <c r="O68" s="65"/>
      <c r="P68" s="65"/>
      <c r="Q68" s="65"/>
      <c r="R68" s="46"/>
      <c r="S68" s="56"/>
      <c r="T68" s="70"/>
      <c r="U68" s="65"/>
      <c r="V68" s="46"/>
      <c r="W68" s="71"/>
      <c r="X68" s="65"/>
      <c r="Y68" s="65"/>
      <c r="Z68" s="65"/>
      <c r="AA68" s="46"/>
      <c r="AB68" s="72"/>
      <c r="AC68" s="65"/>
      <c r="AD68" s="46"/>
      <c r="AE68" s="71"/>
      <c r="AF68" s="65"/>
      <c r="AG68" s="65"/>
      <c r="AH68" s="65"/>
      <c r="AI68" s="65"/>
      <c r="AJ68" s="46"/>
      <c r="AX68" s="33"/>
      <c r="AY68" s="33"/>
      <c r="AZ68" s="33"/>
      <c r="BA68" s="33"/>
      <c r="BB68" s="33"/>
      <c r="BC68" s="33"/>
      <c r="BD68" s="33"/>
      <c r="BE68" s="33"/>
    </row>
    <row r="69">
      <c r="B69" s="70"/>
      <c r="C69" s="65"/>
      <c r="D69" s="46"/>
      <c r="E69" s="71"/>
      <c r="F69" s="65"/>
      <c r="G69" s="65"/>
      <c r="H69" s="65"/>
      <c r="I69" s="46"/>
      <c r="J69" s="72"/>
      <c r="K69" s="65"/>
      <c r="L69" s="46"/>
      <c r="M69" s="71"/>
      <c r="N69" s="65"/>
      <c r="O69" s="65"/>
      <c r="P69" s="65"/>
      <c r="Q69" s="65"/>
      <c r="R69" s="46"/>
      <c r="S69" s="56"/>
      <c r="T69" s="70"/>
      <c r="U69" s="65"/>
      <c r="V69" s="46"/>
      <c r="W69" s="71"/>
      <c r="X69" s="65"/>
      <c r="Y69" s="65"/>
      <c r="Z69" s="65"/>
      <c r="AA69" s="46"/>
      <c r="AB69" s="72"/>
      <c r="AC69" s="65"/>
      <c r="AD69" s="46"/>
      <c r="AE69" s="71"/>
      <c r="AF69" s="65"/>
      <c r="AG69" s="65"/>
      <c r="AH69" s="65"/>
      <c r="AI69" s="65"/>
      <c r="AJ69" s="46"/>
      <c r="AX69" s="33"/>
      <c r="AY69" s="33"/>
      <c r="AZ69" s="33"/>
      <c r="BA69" s="33"/>
      <c r="BB69" s="33"/>
      <c r="BC69" s="33"/>
      <c r="BD69" s="33"/>
      <c r="BE69" s="33"/>
    </row>
    <row r="70">
      <c r="B70" s="70"/>
      <c r="C70" s="65"/>
      <c r="D70" s="46"/>
      <c r="E70" s="71"/>
      <c r="F70" s="65"/>
      <c r="G70" s="65"/>
      <c r="H70" s="65"/>
      <c r="I70" s="46"/>
      <c r="J70" s="72"/>
      <c r="K70" s="65"/>
      <c r="L70" s="46"/>
      <c r="M70" s="71"/>
      <c r="N70" s="65"/>
      <c r="O70" s="65"/>
      <c r="P70" s="65"/>
      <c r="Q70" s="65"/>
      <c r="R70" s="46"/>
      <c r="S70" s="56"/>
      <c r="T70" s="70"/>
      <c r="U70" s="65"/>
      <c r="V70" s="46"/>
      <c r="W70" s="71"/>
      <c r="X70" s="65"/>
      <c r="Y70" s="65"/>
      <c r="Z70" s="65"/>
      <c r="AA70" s="46"/>
      <c r="AB70" s="72"/>
      <c r="AC70" s="65"/>
      <c r="AD70" s="46"/>
      <c r="AE70" s="71"/>
      <c r="AF70" s="65"/>
      <c r="AG70" s="65"/>
      <c r="AH70" s="65"/>
      <c r="AI70" s="65"/>
      <c r="AJ70" s="46"/>
      <c r="AX70" s="33"/>
      <c r="AY70" s="33"/>
      <c r="AZ70" s="33"/>
      <c r="BA70" s="33"/>
      <c r="BB70" s="33"/>
      <c r="BC70" s="33"/>
      <c r="BD70" s="33"/>
      <c r="BE70" s="33"/>
    </row>
    <row r="71">
      <c r="B71" s="70"/>
      <c r="C71" s="65"/>
      <c r="D71" s="46"/>
      <c r="E71" s="71"/>
      <c r="F71" s="65"/>
      <c r="G71" s="65"/>
      <c r="H71" s="65"/>
      <c r="I71" s="46"/>
      <c r="J71" s="72"/>
      <c r="K71" s="65"/>
      <c r="L71" s="46"/>
      <c r="M71" s="71"/>
      <c r="N71" s="65"/>
      <c r="O71" s="65"/>
      <c r="P71" s="65"/>
      <c r="Q71" s="65"/>
      <c r="R71" s="46"/>
      <c r="S71" s="56"/>
      <c r="T71" s="70"/>
      <c r="U71" s="65"/>
      <c r="V71" s="46"/>
      <c r="W71" s="71"/>
      <c r="X71" s="65"/>
      <c r="Y71" s="65"/>
      <c r="Z71" s="65"/>
      <c r="AA71" s="46"/>
      <c r="AB71" s="72"/>
      <c r="AC71" s="65"/>
      <c r="AD71" s="46"/>
      <c r="AE71" s="71"/>
      <c r="AF71" s="65"/>
      <c r="AG71" s="65"/>
      <c r="AH71" s="65"/>
      <c r="AI71" s="65"/>
      <c r="AJ71" s="46"/>
      <c r="AX71" s="33"/>
      <c r="AY71" s="33"/>
      <c r="AZ71" s="33"/>
      <c r="BA71" s="33"/>
      <c r="BB71" s="33"/>
      <c r="BC71" s="33"/>
      <c r="BD71" s="33"/>
      <c r="BE71" s="33"/>
    </row>
    <row r="72">
      <c r="B72" s="70"/>
      <c r="C72" s="65"/>
      <c r="D72" s="46"/>
      <c r="E72" s="71"/>
      <c r="F72" s="65"/>
      <c r="G72" s="65"/>
      <c r="H72" s="65"/>
      <c r="I72" s="46"/>
      <c r="J72" s="72"/>
      <c r="K72" s="65"/>
      <c r="L72" s="46"/>
      <c r="M72" s="71"/>
      <c r="N72" s="65"/>
      <c r="O72" s="65"/>
      <c r="P72" s="65"/>
      <c r="Q72" s="65"/>
      <c r="R72" s="46"/>
      <c r="S72" s="56"/>
      <c r="T72" s="70"/>
      <c r="U72" s="65"/>
      <c r="V72" s="46"/>
      <c r="W72" s="71"/>
      <c r="X72" s="65"/>
      <c r="Y72" s="65"/>
      <c r="Z72" s="65"/>
      <c r="AA72" s="46"/>
      <c r="AB72" s="72"/>
      <c r="AC72" s="65"/>
      <c r="AD72" s="46"/>
      <c r="AE72" s="71"/>
      <c r="AF72" s="65"/>
      <c r="AG72" s="65"/>
      <c r="AH72" s="65"/>
      <c r="AI72" s="65"/>
      <c r="AJ72" s="46"/>
      <c r="AX72" s="33"/>
      <c r="AY72" s="33"/>
      <c r="AZ72" s="33"/>
      <c r="BA72" s="33"/>
      <c r="BB72" s="33"/>
      <c r="BC72" s="33"/>
      <c r="BD72" s="33"/>
      <c r="BE72" s="33"/>
    </row>
    <row r="73">
      <c r="B73" s="70"/>
      <c r="C73" s="65"/>
      <c r="D73" s="46"/>
      <c r="E73" s="71"/>
      <c r="F73" s="65"/>
      <c r="G73" s="65"/>
      <c r="H73" s="65"/>
      <c r="I73" s="46"/>
      <c r="J73" s="72"/>
      <c r="K73" s="65"/>
      <c r="L73" s="46"/>
      <c r="M73" s="71"/>
      <c r="N73" s="65"/>
      <c r="O73" s="65"/>
      <c r="P73" s="65"/>
      <c r="Q73" s="65"/>
      <c r="R73" s="46"/>
      <c r="S73" s="56"/>
      <c r="T73" s="70"/>
      <c r="U73" s="65"/>
      <c r="V73" s="46"/>
      <c r="W73" s="71"/>
      <c r="X73" s="65"/>
      <c r="Y73" s="65"/>
      <c r="Z73" s="65"/>
      <c r="AA73" s="46"/>
      <c r="AB73" s="72"/>
      <c r="AC73" s="65"/>
      <c r="AD73" s="46"/>
      <c r="AE73" s="71"/>
      <c r="AF73" s="65"/>
      <c r="AG73" s="65"/>
      <c r="AH73" s="65"/>
      <c r="AI73" s="65"/>
      <c r="AJ73" s="46"/>
      <c r="AX73" s="33"/>
      <c r="AY73" s="33"/>
      <c r="AZ73" s="33"/>
      <c r="BA73" s="33"/>
      <c r="BB73" s="33"/>
      <c r="BC73" s="33"/>
      <c r="BD73" s="33"/>
      <c r="BE73" s="33"/>
    </row>
    <row r="74">
      <c r="B74" s="70"/>
      <c r="C74" s="65"/>
      <c r="D74" s="46"/>
      <c r="E74" s="71"/>
      <c r="F74" s="65"/>
      <c r="G74" s="65"/>
      <c r="H74" s="65"/>
      <c r="I74" s="46"/>
      <c r="J74" s="72"/>
      <c r="K74" s="65"/>
      <c r="L74" s="46"/>
      <c r="M74" s="71"/>
      <c r="N74" s="65"/>
      <c r="O74" s="65"/>
      <c r="P74" s="65"/>
      <c r="Q74" s="65"/>
      <c r="R74" s="46"/>
      <c r="T74" s="70"/>
      <c r="U74" s="65"/>
      <c r="V74" s="46"/>
      <c r="W74" s="71"/>
      <c r="X74" s="65"/>
      <c r="Y74" s="65"/>
      <c r="Z74" s="65"/>
      <c r="AA74" s="46"/>
      <c r="AB74" s="72"/>
      <c r="AC74" s="65"/>
      <c r="AD74" s="46"/>
      <c r="AE74" s="71"/>
      <c r="AF74" s="65"/>
      <c r="AG74" s="65"/>
      <c r="AH74" s="65"/>
      <c r="AI74" s="65"/>
      <c r="AJ74" s="46"/>
      <c r="AX74" s="33"/>
      <c r="AY74" s="33"/>
      <c r="AZ74" s="33"/>
      <c r="BA74" s="33"/>
      <c r="BB74" s="33"/>
      <c r="BC74" s="33"/>
      <c r="BD74" s="33"/>
      <c r="BE74" s="33"/>
    </row>
    <row r="75">
      <c r="B75" s="70"/>
      <c r="C75" s="65"/>
      <c r="D75" s="46"/>
      <c r="E75" s="71"/>
      <c r="F75" s="65"/>
      <c r="G75" s="65"/>
      <c r="H75" s="65"/>
      <c r="I75" s="46"/>
      <c r="J75" s="72"/>
      <c r="K75" s="65"/>
      <c r="L75" s="46"/>
      <c r="M75" s="71"/>
      <c r="N75" s="65"/>
      <c r="O75" s="65"/>
      <c r="P75" s="65"/>
      <c r="Q75" s="65"/>
      <c r="R75" s="46"/>
      <c r="T75" s="70"/>
      <c r="U75" s="65"/>
      <c r="V75" s="46"/>
      <c r="W75" s="71"/>
      <c r="X75" s="65"/>
      <c r="Y75" s="65"/>
      <c r="Z75" s="65"/>
      <c r="AA75" s="46"/>
      <c r="AB75" s="72"/>
      <c r="AC75" s="65"/>
      <c r="AD75" s="46"/>
      <c r="AE75" s="71"/>
      <c r="AF75" s="65"/>
      <c r="AG75" s="65"/>
      <c r="AH75" s="65"/>
      <c r="AI75" s="65"/>
      <c r="AJ75" s="46"/>
      <c r="AX75" s="33"/>
      <c r="AY75" s="33"/>
      <c r="AZ75" s="33"/>
      <c r="BA75" s="33"/>
      <c r="BB75" s="33"/>
      <c r="BC75" s="33"/>
      <c r="BD75" s="33"/>
      <c r="BE75" s="33"/>
    </row>
    <row r="76">
      <c r="B76" s="70"/>
      <c r="C76" s="65"/>
      <c r="D76" s="46"/>
      <c r="E76" s="71"/>
      <c r="F76" s="65"/>
      <c r="G76" s="65"/>
      <c r="H76" s="65"/>
      <c r="I76" s="46"/>
      <c r="J76" s="72"/>
      <c r="K76" s="65"/>
      <c r="L76" s="46"/>
      <c r="M76" s="71"/>
      <c r="N76" s="65"/>
      <c r="O76" s="65"/>
      <c r="P76" s="65"/>
      <c r="Q76" s="65"/>
      <c r="R76" s="46"/>
      <c r="T76" s="70"/>
      <c r="U76" s="65"/>
      <c r="V76" s="46"/>
      <c r="W76" s="71"/>
      <c r="X76" s="65"/>
      <c r="Y76" s="65"/>
      <c r="Z76" s="65"/>
      <c r="AA76" s="46"/>
      <c r="AB76" s="72"/>
      <c r="AC76" s="65"/>
      <c r="AD76" s="46"/>
      <c r="AE76" s="71"/>
      <c r="AF76" s="65"/>
      <c r="AG76" s="65"/>
      <c r="AH76" s="65"/>
      <c r="AI76" s="65"/>
      <c r="AJ76" s="46"/>
      <c r="AX76" s="33"/>
      <c r="AY76" s="33"/>
      <c r="AZ76" s="33"/>
      <c r="BA76" s="33"/>
      <c r="BB76" s="33"/>
      <c r="BC76" s="33"/>
      <c r="BD76" s="33"/>
      <c r="BE76" s="33"/>
    </row>
    <row r="77">
      <c r="B77" s="70"/>
      <c r="C77" s="65"/>
      <c r="D77" s="46"/>
      <c r="E77" s="71"/>
      <c r="F77" s="65"/>
      <c r="G77" s="65"/>
      <c r="H77" s="65"/>
      <c r="I77" s="46"/>
      <c r="J77" s="72"/>
      <c r="K77" s="65"/>
      <c r="L77" s="46"/>
      <c r="M77" s="71"/>
      <c r="N77" s="65"/>
      <c r="O77" s="65"/>
      <c r="P77" s="65"/>
      <c r="Q77" s="65"/>
      <c r="R77" s="46"/>
      <c r="T77" s="70"/>
      <c r="U77" s="65"/>
      <c r="V77" s="46"/>
      <c r="W77" s="71"/>
      <c r="X77" s="65"/>
      <c r="Y77" s="65"/>
      <c r="Z77" s="65"/>
      <c r="AA77" s="46"/>
      <c r="AB77" s="72"/>
      <c r="AC77" s="65"/>
      <c r="AD77" s="46"/>
      <c r="AE77" s="71"/>
      <c r="AF77" s="65"/>
      <c r="AG77" s="65"/>
      <c r="AH77" s="65"/>
      <c r="AI77" s="65"/>
      <c r="AJ77" s="46"/>
    </row>
    <row r="78">
      <c r="B78" s="70"/>
      <c r="C78" s="65"/>
      <c r="D78" s="46"/>
      <c r="E78" s="71"/>
      <c r="F78" s="65"/>
      <c r="G78" s="65"/>
      <c r="H78" s="65"/>
      <c r="I78" s="46"/>
      <c r="J78" s="72"/>
      <c r="K78" s="65"/>
      <c r="L78" s="46"/>
      <c r="M78" s="71"/>
      <c r="N78" s="65"/>
      <c r="O78" s="65"/>
      <c r="P78" s="65"/>
      <c r="Q78" s="65"/>
      <c r="R78" s="46"/>
      <c r="T78" s="70"/>
      <c r="U78" s="65"/>
      <c r="V78" s="46"/>
      <c r="W78" s="71"/>
      <c r="X78" s="65"/>
      <c r="Y78" s="65"/>
      <c r="Z78" s="65"/>
      <c r="AA78" s="46"/>
      <c r="AB78" s="72"/>
      <c r="AC78" s="65"/>
      <c r="AD78" s="46"/>
      <c r="AE78" s="71"/>
      <c r="AF78" s="65"/>
      <c r="AG78" s="65"/>
      <c r="AH78" s="65"/>
      <c r="AI78" s="65"/>
      <c r="AJ78" s="46"/>
    </row>
    <row r="79">
      <c r="B79" s="70"/>
      <c r="C79" s="65"/>
      <c r="D79" s="46"/>
      <c r="E79" s="71"/>
      <c r="F79" s="65"/>
      <c r="G79" s="65"/>
      <c r="H79" s="65"/>
      <c r="I79" s="46"/>
      <c r="J79" s="72"/>
      <c r="K79" s="65"/>
      <c r="L79" s="46"/>
      <c r="M79" s="71"/>
      <c r="N79" s="65"/>
      <c r="O79" s="65"/>
      <c r="P79" s="65"/>
      <c r="Q79" s="65"/>
      <c r="R79" s="46"/>
      <c r="T79" s="70"/>
      <c r="U79" s="65"/>
      <c r="V79" s="46"/>
      <c r="W79" s="71"/>
      <c r="X79" s="65"/>
      <c r="Y79" s="65"/>
      <c r="Z79" s="65"/>
      <c r="AA79" s="46"/>
      <c r="AB79" s="72"/>
      <c r="AC79" s="65"/>
      <c r="AD79" s="46"/>
      <c r="AE79" s="71"/>
      <c r="AF79" s="65"/>
      <c r="AG79" s="65"/>
      <c r="AH79" s="65"/>
      <c r="AI79" s="65"/>
      <c r="AJ79" s="46"/>
    </row>
    <row r="80">
      <c r="B80" s="70"/>
      <c r="C80" s="65"/>
      <c r="D80" s="46"/>
      <c r="E80" s="71"/>
      <c r="F80" s="65"/>
      <c r="G80" s="65"/>
      <c r="H80" s="65"/>
      <c r="I80" s="46"/>
      <c r="J80" s="72"/>
      <c r="K80" s="65"/>
      <c r="L80" s="46"/>
      <c r="M80" s="71"/>
      <c r="N80" s="65"/>
      <c r="O80" s="65"/>
      <c r="P80" s="65"/>
      <c r="Q80" s="65"/>
      <c r="R80" s="46"/>
      <c r="T80" s="70"/>
      <c r="U80" s="65"/>
      <c r="V80" s="46"/>
      <c r="W80" s="71"/>
      <c r="X80" s="65"/>
      <c r="Y80" s="65"/>
      <c r="Z80" s="65"/>
      <c r="AA80" s="46"/>
      <c r="AB80" s="72"/>
      <c r="AC80" s="65"/>
      <c r="AD80" s="46"/>
      <c r="AE80" s="71"/>
      <c r="AF80" s="65"/>
      <c r="AG80" s="65"/>
      <c r="AH80" s="65"/>
      <c r="AI80" s="65"/>
      <c r="AJ80" s="46"/>
    </row>
    <row r="81">
      <c r="B81" s="70"/>
      <c r="C81" s="65"/>
      <c r="D81" s="46"/>
      <c r="E81" s="71"/>
      <c r="F81" s="65"/>
      <c r="G81" s="65"/>
      <c r="H81" s="65"/>
      <c r="I81" s="46"/>
      <c r="J81" s="72"/>
      <c r="K81" s="65"/>
      <c r="L81" s="46"/>
      <c r="M81" s="71"/>
      <c r="N81" s="65"/>
      <c r="O81" s="65"/>
      <c r="P81" s="65"/>
      <c r="Q81" s="65"/>
      <c r="R81" s="46"/>
      <c r="T81" s="70"/>
      <c r="U81" s="65"/>
      <c r="V81" s="46"/>
      <c r="W81" s="71"/>
      <c r="X81" s="65"/>
      <c r="Y81" s="65"/>
      <c r="Z81" s="65"/>
      <c r="AA81" s="46"/>
      <c r="AB81" s="72"/>
      <c r="AC81" s="65"/>
      <c r="AD81" s="46"/>
      <c r="AE81" s="71"/>
      <c r="AF81" s="65"/>
      <c r="AG81" s="65"/>
      <c r="AH81" s="65"/>
      <c r="AI81" s="65"/>
      <c r="AJ81" s="46"/>
    </row>
    <row r="82">
      <c r="B82" s="70"/>
      <c r="C82" s="65"/>
      <c r="D82" s="46"/>
      <c r="E82" s="71"/>
      <c r="F82" s="65"/>
      <c r="G82" s="65"/>
      <c r="H82" s="65"/>
      <c r="I82" s="46"/>
      <c r="J82" s="72"/>
      <c r="K82" s="65"/>
      <c r="L82" s="46"/>
      <c r="M82" s="71"/>
      <c r="N82" s="65"/>
      <c r="O82" s="65"/>
      <c r="P82" s="65"/>
      <c r="Q82" s="65"/>
      <c r="R82" s="46"/>
      <c r="T82" s="70"/>
      <c r="U82" s="65"/>
      <c r="V82" s="46"/>
      <c r="W82" s="71"/>
      <c r="X82" s="65"/>
      <c r="Y82" s="65"/>
      <c r="Z82" s="65"/>
      <c r="AA82" s="46"/>
      <c r="AB82" s="72"/>
      <c r="AC82" s="65"/>
      <c r="AD82" s="46"/>
      <c r="AE82" s="71"/>
      <c r="AF82" s="65"/>
      <c r="AG82" s="65"/>
      <c r="AH82" s="65"/>
      <c r="AI82" s="65"/>
      <c r="AJ82" s="46"/>
    </row>
    <row r="83">
      <c r="B83" s="70"/>
      <c r="C83" s="65"/>
      <c r="D83" s="46"/>
      <c r="E83" s="71"/>
      <c r="F83" s="65"/>
      <c r="G83" s="65"/>
      <c r="H83" s="65"/>
      <c r="I83" s="46"/>
      <c r="J83" s="72"/>
      <c r="K83" s="65"/>
      <c r="L83" s="46"/>
      <c r="M83" s="71"/>
      <c r="N83" s="65"/>
      <c r="O83" s="65"/>
      <c r="P83" s="65"/>
      <c r="Q83" s="65"/>
      <c r="R83" s="46"/>
      <c r="T83" s="70"/>
      <c r="U83" s="65"/>
      <c r="V83" s="46"/>
      <c r="W83" s="71"/>
      <c r="X83" s="65"/>
      <c r="Y83" s="65"/>
      <c r="Z83" s="65"/>
      <c r="AA83" s="46"/>
      <c r="AB83" s="72"/>
      <c r="AC83" s="65"/>
      <c r="AD83" s="46"/>
      <c r="AE83" s="71"/>
      <c r="AF83" s="65"/>
      <c r="AG83" s="65"/>
      <c r="AH83" s="65"/>
      <c r="AI83" s="65"/>
      <c r="AJ83" s="46"/>
    </row>
    <row r="84">
      <c r="B84" s="70"/>
      <c r="C84" s="65"/>
      <c r="D84" s="46"/>
      <c r="E84" s="71"/>
      <c r="F84" s="65"/>
      <c r="G84" s="65"/>
      <c r="H84" s="65"/>
      <c r="I84" s="46"/>
      <c r="J84" s="72"/>
      <c r="K84" s="65"/>
      <c r="L84" s="46"/>
      <c r="M84" s="71"/>
      <c r="N84" s="65"/>
      <c r="O84" s="65"/>
      <c r="P84" s="65"/>
      <c r="Q84" s="65"/>
      <c r="R84" s="46"/>
      <c r="T84" s="70"/>
      <c r="U84" s="65"/>
      <c r="V84" s="46"/>
      <c r="W84" s="71"/>
      <c r="X84" s="65"/>
      <c r="Y84" s="65"/>
      <c r="Z84" s="65"/>
      <c r="AA84" s="46"/>
      <c r="AB84" s="72"/>
      <c r="AC84" s="65"/>
      <c r="AD84" s="46"/>
      <c r="AE84" s="71"/>
      <c r="AF84" s="65"/>
      <c r="AG84" s="65"/>
      <c r="AH84" s="65"/>
      <c r="AI84" s="65"/>
      <c r="AJ84" s="46"/>
    </row>
    <row r="85">
      <c r="B85" s="70"/>
      <c r="C85" s="65"/>
      <c r="D85" s="46"/>
      <c r="E85" s="71"/>
      <c r="F85" s="65"/>
      <c r="G85" s="65"/>
      <c r="H85" s="65"/>
      <c r="I85" s="46"/>
      <c r="J85" s="72"/>
      <c r="K85" s="65"/>
      <c r="L85" s="46"/>
      <c r="M85" s="71"/>
      <c r="N85" s="65"/>
      <c r="O85" s="65"/>
      <c r="P85" s="65"/>
      <c r="Q85" s="65"/>
      <c r="R85" s="46"/>
      <c r="T85" s="70"/>
      <c r="U85" s="65"/>
      <c r="V85" s="46"/>
      <c r="W85" s="71"/>
      <c r="X85" s="65"/>
      <c r="Y85" s="65"/>
      <c r="Z85" s="65"/>
      <c r="AA85" s="46"/>
      <c r="AB85" s="72"/>
      <c r="AC85" s="65"/>
      <c r="AD85" s="46"/>
      <c r="AE85" s="71"/>
      <c r="AF85" s="65"/>
      <c r="AG85" s="65"/>
      <c r="AH85" s="65"/>
      <c r="AI85" s="65"/>
      <c r="AJ85" s="46"/>
    </row>
    <row r="86">
      <c r="B86" s="70"/>
      <c r="C86" s="65"/>
      <c r="D86" s="46"/>
      <c r="E86" s="71"/>
      <c r="F86" s="65"/>
      <c r="G86" s="65"/>
      <c r="H86" s="65"/>
      <c r="I86" s="46"/>
      <c r="J86" s="72"/>
      <c r="K86" s="65"/>
      <c r="L86" s="46"/>
      <c r="M86" s="71"/>
      <c r="N86" s="65"/>
      <c r="O86" s="65"/>
      <c r="P86" s="65"/>
      <c r="Q86" s="65"/>
      <c r="R86" s="46"/>
      <c r="T86" s="70"/>
      <c r="U86" s="65"/>
      <c r="V86" s="46"/>
      <c r="W86" s="71"/>
      <c r="X86" s="65"/>
      <c r="Y86" s="65"/>
      <c r="Z86" s="65"/>
      <c r="AA86" s="46"/>
      <c r="AB86" s="72"/>
      <c r="AC86" s="65"/>
      <c r="AD86" s="46"/>
      <c r="AE86" s="71"/>
      <c r="AF86" s="65"/>
      <c r="AG86" s="65"/>
      <c r="AH86" s="65"/>
      <c r="AI86" s="65"/>
      <c r="AJ86" s="46"/>
    </row>
    <row r="87">
      <c r="B87" s="70"/>
      <c r="C87" s="65"/>
      <c r="D87" s="46"/>
      <c r="E87" s="71"/>
      <c r="F87" s="65"/>
      <c r="G87" s="65"/>
      <c r="H87" s="65"/>
      <c r="I87" s="46"/>
      <c r="J87" s="72"/>
      <c r="K87" s="65"/>
      <c r="L87" s="46"/>
      <c r="M87" s="71"/>
      <c r="N87" s="65"/>
      <c r="O87" s="65"/>
      <c r="P87" s="65"/>
      <c r="Q87" s="65"/>
      <c r="R87" s="46"/>
      <c r="T87" s="70"/>
      <c r="U87" s="65"/>
      <c r="V87" s="46"/>
      <c r="W87" s="71"/>
      <c r="X87" s="65"/>
      <c r="Y87" s="65"/>
      <c r="Z87" s="65"/>
      <c r="AA87" s="46"/>
      <c r="AB87" s="72"/>
      <c r="AC87" s="65"/>
      <c r="AD87" s="46"/>
      <c r="AE87" s="71"/>
      <c r="AF87" s="65"/>
      <c r="AG87" s="65"/>
      <c r="AH87" s="65"/>
      <c r="AI87" s="65"/>
      <c r="AJ87" s="46"/>
    </row>
    <row r="88">
      <c r="B88" s="70"/>
      <c r="C88" s="65"/>
      <c r="D88" s="46"/>
      <c r="E88" s="71"/>
      <c r="F88" s="65"/>
      <c r="G88" s="65"/>
      <c r="H88" s="65"/>
      <c r="I88" s="46"/>
      <c r="J88" s="72"/>
      <c r="K88" s="65"/>
      <c r="L88" s="46"/>
      <c r="M88" s="71"/>
      <c r="N88" s="65"/>
      <c r="O88" s="65"/>
      <c r="P88" s="65"/>
      <c r="Q88" s="65"/>
      <c r="R88" s="46"/>
      <c r="T88" s="70"/>
      <c r="U88" s="65"/>
      <c r="V88" s="46"/>
      <c r="W88" s="71"/>
      <c r="X88" s="65"/>
      <c r="Y88" s="65"/>
      <c r="Z88" s="65"/>
      <c r="AA88" s="46"/>
      <c r="AB88" s="72"/>
      <c r="AC88" s="65"/>
      <c r="AD88" s="46"/>
      <c r="AE88" s="71"/>
      <c r="AF88" s="65"/>
      <c r="AG88" s="65"/>
      <c r="AH88" s="65"/>
      <c r="AI88" s="65"/>
      <c r="AJ88" s="46"/>
    </row>
    <row r="89">
      <c r="B89" s="70"/>
      <c r="C89" s="65"/>
      <c r="D89" s="46"/>
      <c r="E89" s="71"/>
      <c r="F89" s="65"/>
      <c r="G89" s="65"/>
      <c r="H89" s="65"/>
      <c r="I89" s="46"/>
      <c r="J89" s="72"/>
      <c r="K89" s="65"/>
      <c r="L89" s="46"/>
      <c r="M89" s="71"/>
      <c r="N89" s="65"/>
      <c r="O89" s="65"/>
      <c r="P89" s="65"/>
      <c r="Q89" s="65"/>
      <c r="R89" s="46"/>
      <c r="T89" s="70"/>
      <c r="U89" s="65"/>
      <c r="V89" s="46"/>
      <c r="W89" s="71"/>
      <c r="X89" s="65"/>
      <c r="Y89" s="65"/>
      <c r="Z89" s="65"/>
      <c r="AA89" s="46"/>
      <c r="AB89" s="72"/>
      <c r="AC89" s="65"/>
      <c r="AD89" s="46"/>
      <c r="AE89" s="71"/>
      <c r="AF89" s="65"/>
      <c r="AG89" s="65"/>
      <c r="AH89" s="65"/>
      <c r="AI89" s="65"/>
      <c r="AJ89" s="46"/>
    </row>
    <row r="90">
      <c r="B90" s="70"/>
      <c r="C90" s="65"/>
      <c r="D90" s="46"/>
      <c r="E90" s="71"/>
      <c r="F90" s="65"/>
      <c r="G90" s="65"/>
      <c r="H90" s="65"/>
      <c r="I90" s="46"/>
      <c r="J90" s="72"/>
      <c r="K90" s="65"/>
      <c r="L90" s="46"/>
      <c r="M90" s="71"/>
      <c r="N90" s="65"/>
      <c r="O90" s="65"/>
      <c r="P90" s="65"/>
      <c r="Q90" s="65"/>
      <c r="R90" s="46"/>
      <c r="T90" s="70"/>
      <c r="U90" s="65"/>
      <c r="V90" s="46"/>
      <c r="W90" s="71"/>
      <c r="X90" s="65"/>
      <c r="Y90" s="65"/>
      <c r="Z90" s="65"/>
      <c r="AA90" s="46"/>
      <c r="AB90" s="72"/>
      <c r="AC90" s="65"/>
      <c r="AD90" s="46"/>
      <c r="AE90" s="71"/>
      <c r="AF90" s="65"/>
      <c r="AG90" s="65"/>
      <c r="AH90" s="65"/>
      <c r="AI90" s="65"/>
      <c r="AJ90" s="46"/>
    </row>
    <row r="91">
      <c r="B91" s="70"/>
      <c r="C91" s="65"/>
      <c r="D91" s="46"/>
      <c r="E91" s="71"/>
      <c r="F91" s="65"/>
      <c r="G91" s="65"/>
      <c r="H91" s="65"/>
      <c r="I91" s="46"/>
      <c r="J91" s="72"/>
      <c r="K91" s="65"/>
      <c r="L91" s="46"/>
      <c r="M91" s="71"/>
      <c r="N91" s="65"/>
      <c r="O91" s="65"/>
      <c r="P91" s="65"/>
      <c r="Q91" s="65"/>
      <c r="R91" s="46"/>
      <c r="T91" s="70"/>
      <c r="U91" s="65"/>
      <c r="V91" s="46"/>
      <c r="W91" s="71"/>
      <c r="X91" s="65"/>
      <c r="Y91" s="65"/>
      <c r="Z91" s="65"/>
      <c r="AA91" s="46"/>
      <c r="AB91" s="72"/>
      <c r="AC91" s="65"/>
      <c r="AD91" s="46"/>
      <c r="AE91" s="71"/>
      <c r="AF91" s="65"/>
      <c r="AG91" s="65"/>
      <c r="AH91" s="65"/>
      <c r="AI91" s="65"/>
      <c r="AJ91" s="46"/>
    </row>
    <row r="92">
      <c r="B92" s="70"/>
      <c r="C92" s="65"/>
      <c r="D92" s="46"/>
      <c r="E92" s="71"/>
      <c r="F92" s="65"/>
      <c r="G92" s="65"/>
      <c r="H92" s="65"/>
      <c r="I92" s="46"/>
      <c r="J92" s="72"/>
      <c r="K92" s="65"/>
      <c r="L92" s="46"/>
      <c r="M92" s="71"/>
      <c r="N92" s="65"/>
      <c r="O92" s="65"/>
      <c r="P92" s="65"/>
      <c r="Q92" s="65"/>
      <c r="R92" s="46"/>
      <c r="T92" s="70"/>
      <c r="U92" s="65"/>
      <c r="V92" s="46"/>
      <c r="W92" s="71"/>
      <c r="X92" s="65"/>
      <c r="Y92" s="65"/>
      <c r="Z92" s="65"/>
      <c r="AA92" s="46"/>
      <c r="AB92" s="72"/>
      <c r="AC92" s="65"/>
      <c r="AD92" s="46"/>
      <c r="AE92" s="71"/>
      <c r="AF92" s="65"/>
      <c r="AG92" s="65"/>
      <c r="AH92" s="65"/>
      <c r="AI92" s="65"/>
      <c r="AJ92" s="46"/>
    </row>
    <row r="93">
      <c r="B93" s="70"/>
      <c r="C93" s="65"/>
      <c r="D93" s="46"/>
      <c r="E93" s="71"/>
      <c r="F93" s="65"/>
      <c r="G93" s="65"/>
      <c r="H93" s="65"/>
      <c r="I93" s="46"/>
      <c r="J93" s="72"/>
      <c r="K93" s="65"/>
      <c r="L93" s="46"/>
      <c r="M93" s="71"/>
      <c r="N93" s="65"/>
      <c r="O93" s="65"/>
      <c r="P93" s="65"/>
      <c r="Q93" s="65"/>
      <c r="R93" s="46"/>
      <c r="T93" s="70"/>
      <c r="U93" s="65"/>
      <c r="V93" s="46"/>
      <c r="W93" s="71"/>
      <c r="X93" s="65"/>
      <c r="Y93" s="65"/>
      <c r="Z93" s="65"/>
      <c r="AA93" s="46"/>
      <c r="AB93" s="72"/>
      <c r="AC93" s="65"/>
      <c r="AD93" s="46"/>
      <c r="AE93" s="71"/>
      <c r="AF93" s="65"/>
      <c r="AG93" s="65"/>
      <c r="AH93" s="65"/>
      <c r="AI93" s="65"/>
      <c r="AJ93" s="46"/>
    </row>
    <row r="94">
      <c r="B94" s="70"/>
      <c r="C94" s="65"/>
      <c r="D94" s="46"/>
      <c r="E94" s="71"/>
      <c r="F94" s="65"/>
      <c r="G94" s="65"/>
      <c r="H94" s="65"/>
      <c r="I94" s="46"/>
      <c r="J94" s="72"/>
      <c r="K94" s="65"/>
      <c r="L94" s="46"/>
      <c r="M94" s="71"/>
      <c r="N94" s="65"/>
      <c r="O94" s="65"/>
      <c r="P94" s="65"/>
      <c r="Q94" s="65"/>
      <c r="R94" s="46"/>
      <c r="T94" s="70"/>
      <c r="U94" s="65"/>
      <c r="V94" s="46"/>
      <c r="W94" s="71"/>
      <c r="X94" s="65"/>
      <c r="Y94" s="65"/>
      <c r="Z94" s="65"/>
      <c r="AA94" s="46"/>
      <c r="AB94" s="72"/>
      <c r="AC94" s="65"/>
      <c r="AD94" s="46"/>
      <c r="AE94" s="71"/>
      <c r="AF94" s="65"/>
      <c r="AG94" s="65"/>
      <c r="AH94" s="65"/>
      <c r="AI94" s="65"/>
      <c r="AJ94" s="46"/>
    </row>
    <row r="95">
      <c r="B95" s="70"/>
      <c r="C95" s="65"/>
      <c r="D95" s="46"/>
      <c r="E95" s="71"/>
      <c r="F95" s="65"/>
      <c r="G95" s="65"/>
      <c r="H95" s="65"/>
      <c r="I95" s="46"/>
      <c r="J95" s="72"/>
      <c r="K95" s="65"/>
      <c r="L95" s="46"/>
      <c r="M95" s="71"/>
      <c r="N95" s="65"/>
      <c r="O95" s="65"/>
      <c r="P95" s="65"/>
      <c r="Q95" s="65"/>
      <c r="R95" s="46"/>
      <c r="T95" s="70"/>
      <c r="U95" s="65"/>
      <c r="V95" s="46"/>
      <c r="W95" s="71"/>
      <c r="X95" s="65"/>
      <c r="Y95" s="65"/>
      <c r="Z95" s="65"/>
      <c r="AA95" s="46"/>
      <c r="AB95" s="72"/>
      <c r="AC95" s="65"/>
      <c r="AD95" s="46"/>
      <c r="AE95" s="71"/>
      <c r="AF95" s="65"/>
      <c r="AG95" s="65"/>
      <c r="AH95" s="65"/>
      <c r="AI95" s="65"/>
      <c r="AJ95" s="46"/>
    </row>
    <row r="96">
      <c r="B96" s="70"/>
      <c r="C96" s="65"/>
      <c r="D96" s="46"/>
      <c r="E96" s="71"/>
      <c r="F96" s="65"/>
      <c r="G96" s="65"/>
      <c r="H96" s="65"/>
      <c r="I96" s="46"/>
      <c r="J96" s="72"/>
      <c r="K96" s="65"/>
      <c r="L96" s="46"/>
      <c r="M96" s="71"/>
      <c r="N96" s="65"/>
      <c r="O96" s="65"/>
      <c r="P96" s="65"/>
      <c r="Q96" s="65"/>
      <c r="R96" s="46"/>
      <c r="T96" s="70"/>
      <c r="U96" s="65"/>
      <c r="V96" s="46"/>
      <c r="W96" s="71"/>
      <c r="X96" s="65"/>
      <c r="Y96" s="65"/>
      <c r="Z96" s="65"/>
      <c r="AA96" s="46"/>
      <c r="AB96" s="72"/>
      <c r="AC96" s="65"/>
      <c r="AD96" s="46"/>
      <c r="AE96" s="71"/>
      <c r="AF96" s="65"/>
      <c r="AG96" s="65"/>
      <c r="AH96" s="65"/>
      <c r="AI96" s="65"/>
      <c r="AJ96" s="46"/>
    </row>
    <row r="97">
      <c r="B97" s="70"/>
      <c r="C97" s="65"/>
      <c r="D97" s="46"/>
      <c r="E97" s="71"/>
      <c r="F97" s="65"/>
      <c r="G97" s="65"/>
      <c r="H97" s="65"/>
      <c r="I97" s="46"/>
      <c r="J97" s="72"/>
      <c r="K97" s="65"/>
      <c r="L97" s="46"/>
      <c r="M97" s="71"/>
      <c r="N97" s="65"/>
      <c r="O97" s="65"/>
      <c r="P97" s="65"/>
      <c r="Q97" s="65"/>
      <c r="R97" s="46"/>
      <c r="T97" s="70"/>
      <c r="U97" s="65"/>
      <c r="V97" s="46"/>
      <c r="W97" s="71"/>
      <c r="X97" s="65"/>
      <c r="Y97" s="65"/>
      <c r="Z97" s="65"/>
      <c r="AA97" s="46"/>
      <c r="AB97" s="72"/>
      <c r="AC97" s="65"/>
      <c r="AD97" s="46"/>
      <c r="AE97" s="71"/>
      <c r="AF97" s="65"/>
      <c r="AG97" s="65"/>
      <c r="AH97" s="65"/>
      <c r="AI97" s="65"/>
      <c r="AJ97" s="46"/>
    </row>
    <row r="98">
      <c r="B98" s="70"/>
      <c r="C98" s="65"/>
      <c r="D98" s="46"/>
      <c r="E98" s="71"/>
      <c r="F98" s="65"/>
      <c r="G98" s="65"/>
      <c r="H98" s="65"/>
      <c r="I98" s="46"/>
      <c r="J98" s="72"/>
      <c r="K98" s="65"/>
      <c r="L98" s="46"/>
      <c r="M98" s="71"/>
      <c r="N98" s="65"/>
      <c r="O98" s="65"/>
      <c r="P98" s="65"/>
      <c r="Q98" s="65"/>
      <c r="R98" s="46"/>
      <c r="T98" s="70"/>
      <c r="U98" s="65"/>
      <c r="V98" s="46"/>
      <c r="W98" s="71"/>
      <c r="X98" s="65"/>
      <c r="Y98" s="65"/>
      <c r="Z98" s="65"/>
      <c r="AA98" s="46"/>
      <c r="AB98" s="72"/>
      <c r="AC98" s="65"/>
      <c r="AD98" s="46"/>
      <c r="AE98" s="71"/>
      <c r="AF98" s="65"/>
      <c r="AG98" s="65"/>
      <c r="AH98" s="65"/>
      <c r="AI98" s="65"/>
      <c r="AJ98" s="46"/>
    </row>
    <row r="99">
      <c r="B99" s="70"/>
      <c r="C99" s="65"/>
      <c r="D99" s="46"/>
      <c r="E99" s="71"/>
      <c r="F99" s="65"/>
      <c r="G99" s="65"/>
      <c r="H99" s="65"/>
      <c r="I99" s="46"/>
      <c r="J99" s="72"/>
      <c r="K99" s="65"/>
      <c r="L99" s="46"/>
      <c r="M99" s="71"/>
      <c r="N99" s="65"/>
      <c r="O99" s="65"/>
      <c r="P99" s="65"/>
      <c r="Q99" s="65"/>
      <c r="R99" s="46"/>
      <c r="T99" s="70"/>
      <c r="U99" s="65"/>
      <c r="V99" s="46"/>
      <c r="W99" s="71"/>
      <c r="X99" s="65"/>
      <c r="Y99" s="65"/>
      <c r="Z99" s="65"/>
      <c r="AA99" s="46"/>
      <c r="AB99" s="72"/>
      <c r="AC99" s="65"/>
      <c r="AD99" s="46"/>
      <c r="AE99" s="71"/>
      <c r="AF99" s="65"/>
      <c r="AG99" s="65"/>
      <c r="AH99" s="65"/>
      <c r="AI99" s="65"/>
      <c r="AJ99" s="46"/>
    </row>
    <row r="100">
      <c r="B100" s="70"/>
      <c r="C100" s="65"/>
      <c r="D100" s="46"/>
      <c r="E100" s="71"/>
      <c r="F100" s="65"/>
      <c r="G100" s="65"/>
      <c r="H100" s="65"/>
      <c r="I100" s="46"/>
      <c r="J100" s="72"/>
      <c r="K100" s="65"/>
      <c r="L100" s="46"/>
      <c r="M100" s="71"/>
      <c r="N100" s="65"/>
      <c r="O100" s="65"/>
      <c r="P100" s="65"/>
      <c r="Q100" s="65"/>
      <c r="R100" s="46"/>
      <c r="T100" s="70"/>
      <c r="U100" s="65"/>
      <c r="V100" s="46"/>
      <c r="W100" s="71"/>
      <c r="X100" s="65"/>
      <c r="Y100" s="65"/>
      <c r="Z100" s="65"/>
      <c r="AA100" s="46"/>
      <c r="AB100" s="72"/>
      <c r="AC100" s="65"/>
      <c r="AD100" s="46"/>
      <c r="AE100" s="71"/>
      <c r="AF100" s="65"/>
      <c r="AG100" s="65"/>
      <c r="AH100" s="65"/>
      <c r="AI100" s="65"/>
      <c r="AJ100" s="46"/>
    </row>
    <row r="101">
      <c r="B101" s="70"/>
      <c r="C101" s="65"/>
      <c r="D101" s="46"/>
      <c r="E101" s="71"/>
      <c r="F101" s="65"/>
      <c r="G101" s="65"/>
      <c r="H101" s="65"/>
      <c r="I101" s="46"/>
      <c r="J101" s="72"/>
      <c r="K101" s="65"/>
      <c r="L101" s="46"/>
      <c r="M101" s="71"/>
      <c r="N101" s="65"/>
      <c r="O101" s="65"/>
      <c r="P101" s="65"/>
      <c r="Q101" s="65"/>
      <c r="R101" s="46"/>
      <c r="T101" s="70"/>
      <c r="U101" s="65"/>
      <c r="V101" s="46"/>
      <c r="W101" s="71"/>
      <c r="X101" s="65"/>
      <c r="Y101" s="65"/>
      <c r="Z101" s="65"/>
      <c r="AA101" s="46"/>
      <c r="AB101" s="72"/>
      <c r="AC101" s="65"/>
      <c r="AD101" s="46"/>
      <c r="AE101" s="71"/>
      <c r="AF101" s="65"/>
      <c r="AG101" s="65"/>
      <c r="AH101" s="65"/>
      <c r="AI101" s="65"/>
      <c r="AJ101" s="46"/>
    </row>
    <row r="102">
      <c r="B102" s="70"/>
      <c r="C102" s="65"/>
      <c r="D102" s="46"/>
      <c r="E102" s="71"/>
      <c r="F102" s="65"/>
      <c r="G102" s="65"/>
      <c r="H102" s="65"/>
      <c r="I102" s="46"/>
      <c r="J102" s="72"/>
      <c r="K102" s="65"/>
      <c r="L102" s="46"/>
      <c r="M102" s="71"/>
      <c r="N102" s="65"/>
      <c r="O102" s="65"/>
      <c r="P102" s="65"/>
      <c r="Q102" s="65"/>
      <c r="R102" s="46"/>
      <c r="T102" s="70"/>
      <c r="U102" s="65"/>
      <c r="V102" s="46"/>
      <c r="W102" s="71"/>
      <c r="X102" s="65"/>
      <c r="Y102" s="65"/>
      <c r="Z102" s="65"/>
      <c r="AA102" s="46"/>
      <c r="AB102" s="72"/>
      <c r="AC102" s="65"/>
      <c r="AD102" s="46"/>
      <c r="AE102" s="71"/>
      <c r="AF102" s="65"/>
      <c r="AG102" s="65"/>
      <c r="AH102" s="65"/>
      <c r="AI102" s="65"/>
      <c r="AJ102" s="46"/>
    </row>
    <row r="103">
      <c r="B103" s="70"/>
      <c r="C103" s="65"/>
      <c r="D103" s="46"/>
      <c r="E103" s="71"/>
      <c r="F103" s="65"/>
      <c r="G103" s="65"/>
      <c r="H103" s="65"/>
      <c r="I103" s="46"/>
      <c r="J103" s="72"/>
      <c r="K103" s="65"/>
      <c r="L103" s="46"/>
      <c r="M103" s="71"/>
      <c r="N103" s="65"/>
      <c r="O103" s="65"/>
      <c r="P103" s="65"/>
      <c r="Q103" s="65"/>
      <c r="R103" s="46"/>
      <c r="T103" s="70"/>
      <c r="U103" s="65"/>
      <c r="V103" s="46"/>
      <c r="W103" s="71"/>
      <c r="X103" s="65"/>
      <c r="Y103" s="65"/>
      <c r="Z103" s="65"/>
      <c r="AA103" s="46"/>
      <c r="AB103" s="72"/>
      <c r="AC103" s="65"/>
      <c r="AD103" s="46"/>
      <c r="AE103" s="71"/>
      <c r="AF103" s="65"/>
      <c r="AG103" s="65"/>
      <c r="AH103" s="65"/>
      <c r="AI103" s="65"/>
      <c r="AJ103" s="46"/>
    </row>
    <row r="104">
      <c r="B104" s="70"/>
      <c r="C104" s="65"/>
      <c r="D104" s="46"/>
      <c r="E104" s="71"/>
      <c r="F104" s="65"/>
      <c r="G104" s="65"/>
      <c r="H104" s="65"/>
      <c r="I104" s="46"/>
      <c r="J104" s="72"/>
      <c r="K104" s="65"/>
      <c r="L104" s="46"/>
      <c r="M104" s="71"/>
      <c r="N104" s="65"/>
      <c r="O104" s="65"/>
      <c r="P104" s="65"/>
      <c r="Q104" s="65"/>
      <c r="R104" s="46"/>
      <c r="T104" s="70"/>
      <c r="U104" s="65"/>
      <c r="V104" s="46"/>
      <c r="W104" s="71"/>
      <c r="X104" s="65"/>
      <c r="Y104" s="65"/>
      <c r="Z104" s="65"/>
      <c r="AA104" s="46"/>
      <c r="AB104" s="72"/>
      <c r="AC104" s="65"/>
      <c r="AD104" s="46"/>
      <c r="AE104" s="71"/>
      <c r="AF104" s="65"/>
      <c r="AG104" s="65"/>
      <c r="AH104" s="65"/>
      <c r="AI104" s="65"/>
      <c r="AJ104" s="46"/>
    </row>
    <row r="105">
      <c r="B105" s="70"/>
      <c r="C105" s="65"/>
      <c r="D105" s="46"/>
      <c r="E105" s="71"/>
      <c r="F105" s="65"/>
      <c r="G105" s="65"/>
      <c r="H105" s="65"/>
      <c r="I105" s="46"/>
      <c r="J105" s="72"/>
      <c r="K105" s="65"/>
      <c r="L105" s="46"/>
      <c r="M105" s="71"/>
      <c r="N105" s="65"/>
      <c r="O105" s="65"/>
      <c r="P105" s="65"/>
      <c r="Q105" s="65"/>
      <c r="R105" s="46"/>
      <c r="T105" s="70"/>
      <c r="U105" s="65"/>
      <c r="V105" s="46"/>
      <c r="W105" s="71"/>
      <c r="X105" s="65"/>
      <c r="Y105" s="65"/>
      <c r="Z105" s="65"/>
      <c r="AA105" s="46"/>
      <c r="AB105" s="72"/>
      <c r="AC105" s="65"/>
      <c r="AD105" s="46"/>
      <c r="AE105" s="71"/>
      <c r="AF105" s="65"/>
      <c r="AG105" s="65"/>
      <c r="AH105" s="65"/>
      <c r="AI105" s="65"/>
      <c r="AJ105" s="46"/>
    </row>
    <row r="106">
      <c r="B106" s="70"/>
      <c r="C106" s="65"/>
      <c r="D106" s="46"/>
      <c r="E106" s="71"/>
      <c r="F106" s="65"/>
      <c r="G106" s="65"/>
      <c r="H106" s="65"/>
      <c r="I106" s="46"/>
      <c r="J106" s="72"/>
      <c r="K106" s="65"/>
      <c r="L106" s="46"/>
      <c r="M106" s="71"/>
      <c r="N106" s="65"/>
      <c r="O106" s="65"/>
      <c r="P106" s="65"/>
      <c r="Q106" s="65"/>
      <c r="R106" s="46"/>
      <c r="T106" s="70"/>
      <c r="U106" s="65"/>
      <c r="V106" s="46"/>
      <c r="W106" s="71"/>
      <c r="X106" s="65"/>
      <c r="Y106" s="65"/>
      <c r="Z106" s="65"/>
      <c r="AA106" s="46"/>
      <c r="AB106" s="72"/>
      <c r="AC106" s="65"/>
      <c r="AD106" s="46"/>
      <c r="AE106" s="71"/>
      <c r="AF106" s="65"/>
      <c r="AG106" s="65"/>
      <c r="AH106" s="65"/>
      <c r="AI106" s="65"/>
      <c r="AJ106" s="46"/>
    </row>
    <row r="107">
      <c r="B107" s="70"/>
      <c r="C107" s="65"/>
      <c r="D107" s="46"/>
      <c r="E107" s="71"/>
      <c r="F107" s="65"/>
      <c r="G107" s="65"/>
      <c r="H107" s="65"/>
      <c r="I107" s="46"/>
      <c r="J107" s="72"/>
      <c r="K107" s="65"/>
      <c r="L107" s="46"/>
      <c r="M107" s="71"/>
      <c r="N107" s="65"/>
      <c r="O107" s="65"/>
      <c r="P107" s="65"/>
      <c r="Q107" s="65"/>
      <c r="R107" s="46"/>
      <c r="T107" s="70"/>
      <c r="U107" s="65"/>
      <c r="V107" s="46"/>
      <c r="W107" s="71"/>
      <c r="X107" s="65"/>
      <c r="Y107" s="65"/>
      <c r="Z107" s="65"/>
      <c r="AA107" s="46"/>
      <c r="AB107" s="72"/>
      <c r="AC107" s="65"/>
      <c r="AD107" s="46"/>
      <c r="AE107" s="71"/>
      <c r="AF107" s="65"/>
      <c r="AG107" s="65"/>
      <c r="AH107" s="65"/>
      <c r="AI107" s="65"/>
      <c r="AJ107" s="46"/>
    </row>
    <row r="108">
      <c r="B108" s="70"/>
      <c r="C108" s="65"/>
      <c r="D108" s="46"/>
      <c r="E108" s="71"/>
      <c r="F108" s="65"/>
      <c r="G108" s="65"/>
      <c r="H108" s="65"/>
      <c r="I108" s="46"/>
      <c r="J108" s="72"/>
      <c r="K108" s="65"/>
      <c r="L108" s="46"/>
      <c r="M108" s="71"/>
      <c r="N108" s="65"/>
      <c r="O108" s="65"/>
      <c r="P108" s="65"/>
      <c r="Q108" s="65"/>
      <c r="R108" s="46"/>
      <c r="T108" s="70"/>
      <c r="U108" s="65"/>
      <c r="V108" s="46"/>
      <c r="W108" s="71"/>
      <c r="X108" s="65"/>
      <c r="Y108" s="65"/>
      <c r="Z108" s="65"/>
      <c r="AA108" s="46"/>
      <c r="AB108" s="72"/>
      <c r="AC108" s="65"/>
      <c r="AD108" s="46"/>
      <c r="AE108" s="71"/>
      <c r="AF108" s="65"/>
      <c r="AG108" s="65"/>
      <c r="AH108" s="65"/>
      <c r="AI108" s="65"/>
      <c r="AJ108" s="46"/>
    </row>
    <row r="109">
      <c r="B109" s="70"/>
      <c r="C109" s="65"/>
      <c r="D109" s="46"/>
      <c r="E109" s="71"/>
      <c r="F109" s="65"/>
      <c r="G109" s="65"/>
      <c r="H109" s="65"/>
      <c r="I109" s="46"/>
      <c r="J109" s="72"/>
      <c r="K109" s="65"/>
      <c r="L109" s="46"/>
      <c r="M109" s="71"/>
      <c r="N109" s="65"/>
      <c r="O109" s="65"/>
      <c r="P109" s="65"/>
      <c r="Q109" s="65"/>
      <c r="R109" s="46"/>
      <c r="T109" s="70"/>
      <c r="U109" s="65"/>
      <c r="V109" s="46"/>
      <c r="W109" s="71"/>
      <c r="X109" s="65"/>
      <c r="Y109" s="65"/>
      <c r="Z109" s="65"/>
      <c r="AA109" s="46"/>
      <c r="AB109" s="72"/>
      <c r="AC109" s="65"/>
      <c r="AD109" s="46"/>
      <c r="AE109" s="71"/>
      <c r="AF109" s="65"/>
      <c r="AG109" s="65"/>
      <c r="AH109" s="65"/>
      <c r="AI109" s="65"/>
      <c r="AJ109" s="46"/>
    </row>
    <row r="110">
      <c r="B110" s="70"/>
      <c r="C110" s="65"/>
      <c r="D110" s="46"/>
      <c r="E110" s="71"/>
      <c r="F110" s="65"/>
      <c r="G110" s="65"/>
      <c r="H110" s="65"/>
      <c r="I110" s="46"/>
      <c r="J110" s="72"/>
      <c r="K110" s="65"/>
      <c r="L110" s="46"/>
      <c r="M110" s="71"/>
      <c r="N110" s="65"/>
      <c r="O110" s="65"/>
      <c r="P110" s="65"/>
      <c r="Q110" s="65"/>
      <c r="R110" s="46"/>
      <c r="T110" s="70"/>
      <c r="U110" s="65"/>
      <c r="V110" s="46"/>
      <c r="W110" s="71"/>
      <c r="X110" s="65"/>
      <c r="Y110" s="65"/>
      <c r="Z110" s="65"/>
      <c r="AA110" s="46"/>
      <c r="AB110" s="72"/>
      <c r="AC110" s="65"/>
      <c r="AD110" s="46"/>
      <c r="AE110" s="71"/>
      <c r="AF110" s="65"/>
      <c r="AG110" s="65"/>
      <c r="AH110" s="65"/>
      <c r="AI110" s="65"/>
      <c r="AJ110" s="46"/>
    </row>
    <row r="111">
      <c r="B111" s="70"/>
      <c r="C111" s="65"/>
      <c r="D111" s="46"/>
      <c r="E111" s="71"/>
      <c r="F111" s="65"/>
      <c r="G111" s="65"/>
      <c r="H111" s="65"/>
      <c r="I111" s="46"/>
      <c r="J111" s="72"/>
      <c r="K111" s="65"/>
      <c r="L111" s="46"/>
      <c r="M111" s="71"/>
      <c r="N111" s="65"/>
      <c r="O111" s="65"/>
      <c r="P111" s="65"/>
      <c r="Q111" s="65"/>
      <c r="R111" s="46"/>
      <c r="T111" s="70"/>
      <c r="U111" s="65"/>
      <c r="V111" s="46"/>
      <c r="W111" s="71"/>
      <c r="X111" s="65"/>
      <c r="Y111" s="65"/>
      <c r="Z111" s="65"/>
      <c r="AA111" s="46"/>
      <c r="AB111" s="72"/>
      <c r="AC111" s="65"/>
      <c r="AD111" s="46"/>
      <c r="AE111" s="71"/>
      <c r="AF111" s="65"/>
      <c r="AG111" s="65"/>
      <c r="AH111" s="65"/>
      <c r="AI111" s="65"/>
      <c r="AJ111" s="46"/>
    </row>
    <row r="112">
      <c r="B112" s="70"/>
      <c r="C112" s="65"/>
      <c r="D112" s="46"/>
      <c r="E112" s="71"/>
      <c r="F112" s="65"/>
      <c r="G112" s="65"/>
      <c r="H112" s="65"/>
      <c r="I112" s="46"/>
      <c r="J112" s="72"/>
      <c r="K112" s="65"/>
      <c r="L112" s="46"/>
      <c r="M112" s="71"/>
      <c r="N112" s="65"/>
      <c r="O112" s="65"/>
      <c r="P112" s="65"/>
      <c r="Q112" s="65"/>
      <c r="R112" s="46"/>
      <c r="T112" s="70"/>
      <c r="U112" s="65"/>
      <c r="V112" s="46"/>
      <c r="W112" s="71"/>
      <c r="X112" s="65"/>
      <c r="Y112" s="65"/>
      <c r="Z112" s="65"/>
      <c r="AA112" s="46"/>
      <c r="AB112" s="72"/>
      <c r="AC112" s="65"/>
      <c r="AD112" s="46"/>
      <c r="AE112" s="71"/>
      <c r="AF112" s="65"/>
      <c r="AG112" s="65"/>
      <c r="AH112" s="65"/>
      <c r="AI112" s="65"/>
      <c r="AJ112" s="46"/>
    </row>
    <row r="113">
      <c r="B113" s="70"/>
      <c r="C113" s="65"/>
      <c r="D113" s="46"/>
      <c r="E113" s="71"/>
      <c r="F113" s="65"/>
      <c r="G113" s="65"/>
      <c r="H113" s="65"/>
      <c r="I113" s="46"/>
      <c r="J113" s="72"/>
      <c r="K113" s="65"/>
      <c r="L113" s="46"/>
      <c r="M113" s="71"/>
      <c r="N113" s="65"/>
      <c r="O113" s="65"/>
      <c r="P113" s="65"/>
      <c r="Q113" s="65"/>
      <c r="R113" s="46"/>
      <c r="T113" s="70"/>
      <c r="U113" s="65"/>
      <c r="V113" s="46"/>
      <c r="W113" s="71"/>
      <c r="X113" s="65"/>
      <c r="Y113" s="65"/>
      <c r="Z113" s="65"/>
      <c r="AA113" s="46"/>
      <c r="AB113" s="72"/>
      <c r="AC113" s="65"/>
      <c r="AD113" s="46"/>
      <c r="AE113" s="71"/>
      <c r="AF113" s="65"/>
      <c r="AG113" s="65"/>
      <c r="AH113" s="65"/>
      <c r="AI113" s="65"/>
      <c r="AJ113" s="46"/>
    </row>
    <row r="114">
      <c r="B114" s="70"/>
      <c r="C114" s="65"/>
      <c r="D114" s="46"/>
      <c r="E114" s="71"/>
      <c r="F114" s="65"/>
      <c r="G114" s="65"/>
      <c r="H114" s="65"/>
      <c r="I114" s="46"/>
      <c r="J114" s="72"/>
      <c r="K114" s="65"/>
      <c r="L114" s="46"/>
      <c r="M114" s="71"/>
      <c r="N114" s="65"/>
      <c r="O114" s="65"/>
      <c r="P114" s="65"/>
      <c r="Q114" s="65"/>
      <c r="R114" s="46"/>
      <c r="T114" s="70"/>
      <c r="U114" s="65"/>
      <c r="V114" s="46"/>
      <c r="W114" s="71"/>
      <c r="X114" s="65"/>
      <c r="Y114" s="65"/>
      <c r="Z114" s="65"/>
      <c r="AA114" s="46"/>
      <c r="AB114" s="72"/>
      <c r="AC114" s="65"/>
      <c r="AD114" s="46"/>
      <c r="AE114" s="71"/>
      <c r="AF114" s="65"/>
      <c r="AG114" s="65"/>
      <c r="AH114" s="65"/>
      <c r="AI114" s="65"/>
      <c r="AJ114" s="46"/>
    </row>
    <row r="115">
      <c r="B115" s="70"/>
      <c r="C115" s="65"/>
      <c r="D115" s="46"/>
      <c r="E115" s="71"/>
      <c r="F115" s="65"/>
      <c r="G115" s="65"/>
      <c r="H115" s="65"/>
      <c r="I115" s="46"/>
      <c r="J115" s="72"/>
      <c r="K115" s="65"/>
      <c r="L115" s="46"/>
      <c r="M115" s="71"/>
      <c r="N115" s="65"/>
      <c r="O115" s="65"/>
      <c r="P115" s="65"/>
      <c r="Q115" s="65"/>
      <c r="R115" s="46"/>
      <c r="T115" s="70"/>
      <c r="U115" s="65"/>
      <c r="V115" s="46"/>
      <c r="W115" s="71"/>
      <c r="X115" s="65"/>
      <c r="Y115" s="65"/>
      <c r="Z115" s="65"/>
      <c r="AA115" s="46"/>
      <c r="AB115" s="72"/>
      <c r="AC115" s="65"/>
      <c r="AD115" s="46"/>
      <c r="AE115" s="71"/>
      <c r="AF115" s="65"/>
      <c r="AG115" s="65"/>
      <c r="AH115" s="65"/>
      <c r="AI115" s="65"/>
      <c r="AJ115" s="46"/>
    </row>
    <row r="116">
      <c r="B116" s="70"/>
      <c r="C116" s="65"/>
      <c r="D116" s="46"/>
      <c r="E116" s="71"/>
      <c r="F116" s="65"/>
      <c r="G116" s="65"/>
      <c r="H116" s="65"/>
      <c r="I116" s="46"/>
      <c r="J116" s="72"/>
      <c r="K116" s="65"/>
      <c r="L116" s="46"/>
      <c r="M116" s="71"/>
      <c r="N116" s="65"/>
      <c r="O116" s="65"/>
      <c r="P116" s="65"/>
      <c r="Q116" s="65"/>
      <c r="R116" s="46"/>
      <c r="T116" s="70"/>
      <c r="U116" s="65"/>
      <c r="V116" s="46"/>
      <c r="W116" s="71"/>
      <c r="X116" s="65"/>
      <c r="Y116" s="65"/>
      <c r="Z116" s="65"/>
      <c r="AA116" s="46"/>
      <c r="AB116" s="72"/>
      <c r="AC116" s="65"/>
      <c r="AD116" s="46"/>
      <c r="AE116" s="71"/>
      <c r="AF116" s="65"/>
      <c r="AG116" s="65"/>
      <c r="AH116" s="65"/>
      <c r="AI116" s="65"/>
      <c r="AJ116" s="46"/>
    </row>
    <row r="117">
      <c r="B117" s="70"/>
      <c r="C117" s="65"/>
      <c r="D117" s="46"/>
      <c r="E117" s="71"/>
      <c r="F117" s="65"/>
      <c r="G117" s="65"/>
      <c r="H117" s="65"/>
      <c r="I117" s="46"/>
      <c r="J117" s="72"/>
      <c r="K117" s="65"/>
      <c r="L117" s="46"/>
      <c r="M117" s="71"/>
      <c r="N117" s="65"/>
      <c r="O117" s="65"/>
      <c r="P117" s="65"/>
      <c r="Q117" s="65"/>
      <c r="R117" s="46"/>
      <c r="T117" s="70"/>
      <c r="U117" s="65"/>
      <c r="V117" s="46"/>
      <c r="W117" s="71"/>
      <c r="X117" s="65"/>
      <c r="Y117" s="65"/>
      <c r="Z117" s="65"/>
      <c r="AA117" s="46"/>
      <c r="AB117" s="72"/>
      <c r="AC117" s="65"/>
      <c r="AD117" s="46"/>
      <c r="AE117" s="71"/>
      <c r="AF117" s="65"/>
      <c r="AG117" s="65"/>
      <c r="AH117" s="65"/>
      <c r="AI117" s="65"/>
      <c r="AJ117" s="46"/>
    </row>
    <row r="118">
      <c r="B118" s="70"/>
      <c r="C118" s="65"/>
      <c r="D118" s="46"/>
      <c r="E118" s="71"/>
      <c r="F118" s="65"/>
      <c r="G118" s="65"/>
      <c r="H118" s="65"/>
      <c r="I118" s="46"/>
      <c r="J118" s="72"/>
      <c r="K118" s="65"/>
      <c r="L118" s="46"/>
      <c r="M118" s="71"/>
      <c r="N118" s="65"/>
      <c r="O118" s="65"/>
      <c r="P118" s="65"/>
      <c r="Q118" s="65"/>
      <c r="R118" s="46"/>
      <c r="T118" s="70"/>
      <c r="U118" s="65"/>
      <c r="V118" s="46"/>
      <c r="W118" s="71"/>
      <c r="X118" s="65"/>
      <c r="Y118" s="65"/>
      <c r="Z118" s="65"/>
      <c r="AA118" s="46"/>
      <c r="AB118" s="72"/>
      <c r="AC118" s="65"/>
      <c r="AD118" s="46"/>
      <c r="AE118" s="71"/>
      <c r="AF118" s="65"/>
      <c r="AG118" s="65"/>
      <c r="AH118" s="65"/>
      <c r="AI118" s="65"/>
      <c r="AJ118" s="46"/>
    </row>
    <row r="119">
      <c r="B119" s="70"/>
      <c r="C119" s="65"/>
      <c r="D119" s="46"/>
      <c r="E119" s="71"/>
      <c r="F119" s="65"/>
      <c r="G119" s="65"/>
      <c r="H119" s="65"/>
      <c r="I119" s="46"/>
      <c r="J119" s="72"/>
      <c r="K119" s="65"/>
      <c r="L119" s="46"/>
      <c r="M119" s="71"/>
      <c r="N119" s="65"/>
      <c r="O119" s="65"/>
      <c r="P119" s="65"/>
      <c r="Q119" s="65"/>
      <c r="R119" s="46"/>
      <c r="T119" s="70"/>
      <c r="U119" s="65"/>
      <c r="V119" s="46"/>
      <c r="W119" s="71"/>
      <c r="X119" s="65"/>
      <c r="Y119" s="65"/>
      <c r="Z119" s="65"/>
      <c r="AA119" s="46"/>
      <c r="AB119" s="72"/>
      <c r="AC119" s="65"/>
      <c r="AD119" s="46"/>
      <c r="AE119" s="71"/>
      <c r="AF119" s="65"/>
      <c r="AG119" s="65"/>
      <c r="AH119" s="65"/>
      <c r="AI119" s="65"/>
      <c r="AJ119" s="46"/>
    </row>
    <row r="120">
      <c r="B120" s="70"/>
      <c r="C120" s="65"/>
      <c r="D120" s="46"/>
      <c r="E120" s="71"/>
      <c r="F120" s="65"/>
      <c r="G120" s="65"/>
      <c r="H120" s="65"/>
      <c r="I120" s="46"/>
      <c r="J120" s="72"/>
      <c r="K120" s="65"/>
      <c r="L120" s="46"/>
      <c r="M120" s="71"/>
      <c r="N120" s="65"/>
      <c r="O120" s="65"/>
      <c r="P120" s="65"/>
      <c r="Q120" s="65"/>
      <c r="R120" s="46"/>
      <c r="T120" s="70"/>
      <c r="U120" s="65"/>
      <c r="V120" s="46"/>
      <c r="W120" s="71"/>
      <c r="X120" s="65"/>
      <c r="Y120" s="65"/>
      <c r="Z120" s="65"/>
      <c r="AA120" s="46"/>
      <c r="AB120" s="72"/>
      <c r="AC120" s="65"/>
      <c r="AD120" s="46"/>
      <c r="AE120" s="71"/>
      <c r="AF120" s="65"/>
      <c r="AG120" s="65"/>
      <c r="AH120" s="65"/>
      <c r="AI120" s="65"/>
      <c r="AJ120" s="46"/>
    </row>
    <row r="121">
      <c r="B121" s="70"/>
      <c r="C121" s="65"/>
      <c r="D121" s="46"/>
      <c r="E121" s="71"/>
      <c r="F121" s="65"/>
      <c r="G121" s="65"/>
      <c r="H121" s="65"/>
      <c r="I121" s="46"/>
      <c r="J121" s="72"/>
      <c r="K121" s="65"/>
      <c r="L121" s="46"/>
      <c r="M121" s="71"/>
      <c r="N121" s="65"/>
      <c r="O121" s="65"/>
      <c r="P121" s="65"/>
      <c r="Q121" s="65"/>
      <c r="R121" s="46"/>
      <c r="T121" s="70"/>
      <c r="U121" s="65"/>
      <c r="V121" s="46"/>
      <c r="W121" s="71"/>
      <c r="X121" s="65"/>
      <c r="Y121" s="65"/>
      <c r="Z121" s="65"/>
      <c r="AA121" s="46"/>
      <c r="AB121" s="72"/>
      <c r="AC121" s="65"/>
      <c r="AD121" s="46"/>
      <c r="AE121" s="71"/>
      <c r="AF121" s="65"/>
      <c r="AG121" s="65"/>
      <c r="AH121" s="65"/>
      <c r="AI121" s="65"/>
      <c r="AJ121" s="46"/>
    </row>
    <row r="122">
      <c r="B122" s="70"/>
      <c r="C122" s="65"/>
      <c r="D122" s="46"/>
      <c r="E122" s="71"/>
      <c r="F122" s="65"/>
      <c r="G122" s="65"/>
      <c r="H122" s="65"/>
      <c r="I122" s="46"/>
      <c r="J122" s="72"/>
      <c r="K122" s="65"/>
      <c r="L122" s="46"/>
      <c r="M122" s="71"/>
      <c r="N122" s="65"/>
      <c r="O122" s="65"/>
      <c r="P122" s="65"/>
      <c r="Q122" s="65"/>
      <c r="R122" s="46"/>
      <c r="T122" s="70"/>
      <c r="U122" s="65"/>
      <c r="V122" s="46"/>
      <c r="W122" s="71"/>
      <c r="X122" s="65"/>
      <c r="Y122" s="65"/>
      <c r="Z122" s="65"/>
      <c r="AA122" s="46"/>
      <c r="AB122" s="72"/>
      <c r="AC122" s="65"/>
      <c r="AD122" s="46"/>
      <c r="AE122" s="71"/>
      <c r="AF122" s="65"/>
      <c r="AG122" s="65"/>
      <c r="AH122" s="65"/>
      <c r="AI122" s="65"/>
      <c r="AJ122" s="46"/>
    </row>
    <row r="123">
      <c r="B123" s="70"/>
      <c r="C123" s="65"/>
      <c r="D123" s="46"/>
      <c r="E123" s="71"/>
      <c r="F123" s="65"/>
      <c r="G123" s="65"/>
      <c r="H123" s="65"/>
      <c r="I123" s="46"/>
      <c r="J123" s="72"/>
      <c r="K123" s="65"/>
      <c r="L123" s="46"/>
      <c r="M123" s="71"/>
      <c r="N123" s="65"/>
      <c r="O123" s="65"/>
      <c r="P123" s="65"/>
      <c r="Q123" s="65"/>
      <c r="R123" s="46"/>
      <c r="T123" s="70"/>
      <c r="U123" s="65"/>
      <c r="V123" s="46"/>
      <c r="W123" s="71"/>
      <c r="X123" s="65"/>
      <c r="Y123" s="65"/>
      <c r="Z123" s="65"/>
      <c r="AA123" s="46"/>
      <c r="AB123" s="72"/>
      <c r="AC123" s="65"/>
      <c r="AD123" s="46"/>
      <c r="AE123" s="71"/>
      <c r="AF123" s="65"/>
      <c r="AG123" s="65"/>
      <c r="AH123" s="65"/>
      <c r="AI123" s="65"/>
      <c r="AJ123" s="46"/>
    </row>
    <row r="124">
      <c r="B124" s="70"/>
      <c r="C124" s="65"/>
      <c r="D124" s="46"/>
      <c r="E124" s="71"/>
      <c r="F124" s="65"/>
      <c r="G124" s="65"/>
      <c r="H124" s="65"/>
      <c r="I124" s="46"/>
      <c r="J124" s="72"/>
      <c r="K124" s="65"/>
      <c r="L124" s="46"/>
      <c r="M124" s="71"/>
      <c r="N124" s="65"/>
      <c r="O124" s="65"/>
      <c r="P124" s="65"/>
      <c r="Q124" s="65"/>
      <c r="R124" s="46"/>
      <c r="T124" s="70"/>
      <c r="U124" s="65"/>
      <c r="V124" s="46"/>
      <c r="W124" s="71"/>
      <c r="X124" s="65"/>
      <c r="Y124" s="65"/>
      <c r="Z124" s="65"/>
      <c r="AA124" s="46"/>
      <c r="AB124" s="72"/>
      <c r="AC124" s="65"/>
      <c r="AD124" s="46"/>
      <c r="AE124" s="71"/>
      <c r="AF124" s="65"/>
      <c r="AG124" s="65"/>
      <c r="AH124" s="65"/>
      <c r="AI124" s="65"/>
      <c r="AJ124" s="46"/>
    </row>
    <row r="125">
      <c r="B125" s="70"/>
      <c r="C125" s="65"/>
      <c r="D125" s="46"/>
      <c r="E125" s="71"/>
      <c r="F125" s="65"/>
      <c r="G125" s="65"/>
      <c r="H125" s="65"/>
      <c r="I125" s="46"/>
      <c r="J125" s="72"/>
      <c r="K125" s="65"/>
      <c r="L125" s="46"/>
      <c r="M125" s="71"/>
      <c r="N125" s="65"/>
      <c r="O125" s="65"/>
      <c r="P125" s="65"/>
      <c r="Q125" s="65"/>
      <c r="R125" s="46"/>
      <c r="T125" s="70"/>
      <c r="U125" s="65"/>
      <c r="V125" s="46"/>
      <c r="W125" s="71"/>
      <c r="X125" s="65"/>
      <c r="Y125" s="65"/>
      <c r="Z125" s="65"/>
      <c r="AA125" s="46"/>
      <c r="AB125" s="72"/>
      <c r="AC125" s="65"/>
      <c r="AD125" s="46"/>
      <c r="AE125" s="71"/>
      <c r="AF125" s="65"/>
      <c r="AG125" s="65"/>
      <c r="AH125" s="65"/>
      <c r="AI125" s="65"/>
      <c r="AJ125" s="46"/>
    </row>
    <row r="126">
      <c r="B126" s="70"/>
      <c r="C126" s="65"/>
      <c r="D126" s="46"/>
      <c r="E126" s="71"/>
      <c r="F126" s="65"/>
      <c r="G126" s="65"/>
      <c r="H126" s="65"/>
      <c r="I126" s="46"/>
      <c r="J126" s="72"/>
      <c r="K126" s="65"/>
      <c r="L126" s="46"/>
      <c r="M126" s="71"/>
      <c r="N126" s="65"/>
      <c r="O126" s="65"/>
      <c r="P126" s="65"/>
      <c r="Q126" s="65"/>
      <c r="R126" s="46"/>
      <c r="T126" s="70"/>
      <c r="U126" s="65"/>
      <c r="V126" s="46"/>
      <c r="W126" s="71"/>
      <c r="X126" s="65"/>
      <c r="Y126" s="65"/>
      <c r="Z126" s="65"/>
      <c r="AA126" s="46"/>
      <c r="AB126" s="72"/>
      <c r="AC126" s="65"/>
      <c r="AD126" s="46"/>
      <c r="AE126" s="71"/>
      <c r="AF126" s="65"/>
      <c r="AG126" s="65"/>
      <c r="AH126" s="65"/>
      <c r="AI126" s="65"/>
      <c r="AJ126" s="46"/>
    </row>
    <row r="127">
      <c r="B127" s="70"/>
      <c r="C127" s="65"/>
      <c r="D127" s="46"/>
      <c r="E127" s="71"/>
      <c r="F127" s="65"/>
      <c r="G127" s="65"/>
      <c r="H127" s="65"/>
      <c r="I127" s="46"/>
      <c r="J127" s="72"/>
      <c r="K127" s="65"/>
      <c r="L127" s="46"/>
      <c r="M127" s="71"/>
      <c r="N127" s="65"/>
      <c r="O127" s="65"/>
      <c r="P127" s="65"/>
      <c r="Q127" s="65"/>
      <c r="R127" s="46"/>
      <c r="T127" s="70"/>
      <c r="U127" s="65"/>
      <c r="V127" s="46"/>
      <c r="W127" s="71"/>
      <c r="X127" s="65"/>
      <c r="Y127" s="65"/>
      <c r="Z127" s="65"/>
      <c r="AA127" s="46"/>
      <c r="AB127" s="72"/>
      <c r="AC127" s="65"/>
      <c r="AD127" s="46"/>
      <c r="AE127" s="71"/>
      <c r="AF127" s="65"/>
      <c r="AG127" s="65"/>
      <c r="AH127" s="65"/>
      <c r="AI127" s="65"/>
      <c r="AJ127" s="46"/>
    </row>
    <row r="128">
      <c r="B128" s="70"/>
      <c r="C128" s="65"/>
      <c r="D128" s="46"/>
      <c r="E128" s="71"/>
      <c r="F128" s="65"/>
      <c r="G128" s="65"/>
      <c r="H128" s="65"/>
      <c r="I128" s="46"/>
      <c r="J128" s="72"/>
      <c r="K128" s="65"/>
      <c r="L128" s="46"/>
      <c r="M128" s="71"/>
      <c r="N128" s="65"/>
      <c r="O128" s="65"/>
      <c r="P128" s="65"/>
      <c r="Q128" s="65"/>
      <c r="R128" s="46"/>
      <c r="T128" s="70"/>
      <c r="U128" s="65"/>
      <c r="V128" s="46"/>
      <c r="W128" s="71"/>
      <c r="X128" s="65"/>
      <c r="Y128" s="65"/>
      <c r="Z128" s="65"/>
      <c r="AA128" s="46"/>
      <c r="AB128" s="72"/>
      <c r="AC128" s="65"/>
      <c r="AD128" s="46"/>
      <c r="AE128" s="71"/>
      <c r="AF128" s="65"/>
      <c r="AG128" s="65"/>
      <c r="AH128" s="65"/>
      <c r="AI128" s="65"/>
      <c r="AJ128" s="46"/>
    </row>
    <row r="129">
      <c r="B129" s="70"/>
      <c r="C129" s="65"/>
      <c r="D129" s="46"/>
      <c r="E129" s="71"/>
      <c r="F129" s="65"/>
      <c r="G129" s="65"/>
      <c r="H129" s="65"/>
      <c r="I129" s="46"/>
      <c r="J129" s="72"/>
      <c r="K129" s="65"/>
      <c r="L129" s="46"/>
      <c r="M129" s="71"/>
      <c r="N129" s="65"/>
      <c r="O129" s="65"/>
      <c r="P129" s="65"/>
      <c r="Q129" s="65"/>
      <c r="R129" s="46"/>
      <c r="T129" s="70"/>
      <c r="U129" s="65"/>
      <c r="V129" s="46"/>
      <c r="W129" s="71"/>
      <c r="X129" s="65"/>
      <c r="Y129" s="65"/>
      <c r="Z129" s="65"/>
      <c r="AA129" s="46"/>
      <c r="AB129" s="72"/>
      <c r="AC129" s="65"/>
      <c r="AD129" s="46"/>
      <c r="AE129" s="71"/>
      <c r="AF129" s="65"/>
      <c r="AG129" s="65"/>
      <c r="AH129" s="65"/>
      <c r="AI129" s="65"/>
      <c r="AJ129" s="46"/>
    </row>
    <row r="130">
      <c r="B130" s="70"/>
      <c r="C130" s="65"/>
      <c r="D130" s="46"/>
      <c r="E130" s="71"/>
      <c r="F130" s="65"/>
      <c r="G130" s="65"/>
      <c r="H130" s="65"/>
      <c r="I130" s="46"/>
      <c r="J130" s="72"/>
      <c r="K130" s="65"/>
      <c r="L130" s="46"/>
      <c r="M130" s="71"/>
      <c r="N130" s="65"/>
      <c r="O130" s="65"/>
      <c r="P130" s="65"/>
      <c r="Q130" s="65"/>
      <c r="R130" s="46"/>
      <c r="T130" s="70"/>
      <c r="U130" s="65"/>
      <c r="V130" s="46"/>
      <c r="W130" s="71"/>
      <c r="X130" s="65"/>
      <c r="Y130" s="65"/>
      <c r="Z130" s="65"/>
      <c r="AA130" s="46"/>
      <c r="AB130" s="72"/>
      <c r="AC130" s="65"/>
      <c r="AD130" s="46"/>
      <c r="AE130" s="71"/>
      <c r="AF130" s="65"/>
      <c r="AG130" s="65"/>
      <c r="AH130" s="65"/>
      <c r="AI130" s="65"/>
      <c r="AJ130" s="46"/>
    </row>
    <row r="131">
      <c r="B131" s="70"/>
      <c r="C131" s="65"/>
      <c r="D131" s="46"/>
      <c r="E131" s="71"/>
      <c r="F131" s="65"/>
      <c r="G131" s="65"/>
      <c r="H131" s="65"/>
      <c r="I131" s="46"/>
      <c r="J131" s="72"/>
      <c r="K131" s="65"/>
      <c r="L131" s="46"/>
      <c r="M131" s="71"/>
      <c r="N131" s="65"/>
      <c r="O131" s="65"/>
      <c r="P131" s="65"/>
      <c r="Q131" s="65"/>
      <c r="R131" s="46"/>
      <c r="T131" s="70"/>
      <c r="U131" s="65"/>
      <c r="V131" s="46"/>
      <c r="W131" s="71"/>
      <c r="X131" s="65"/>
      <c r="Y131" s="65"/>
      <c r="Z131" s="65"/>
      <c r="AA131" s="46"/>
      <c r="AB131" s="72"/>
      <c r="AC131" s="65"/>
      <c r="AD131" s="46"/>
      <c r="AE131" s="71"/>
      <c r="AF131" s="65"/>
      <c r="AG131" s="65"/>
      <c r="AH131" s="65"/>
      <c r="AI131" s="65"/>
      <c r="AJ131" s="46"/>
    </row>
    <row r="132">
      <c r="B132" s="70"/>
      <c r="C132" s="65"/>
      <c r="D132" s="46"/>
      <c r="E132" s="71"/>
      <c r="F132" s="65"/>
      <c r="G132" s="65"/>
      <c r="H132" s="65"/>
      <c r="I132" s="46"/>
      <c r="J132" s="72"/>
      <c r="K132" s="65"/>
      <c r="L132" s="46"/>
      <c r="M132" s="71"/>
      <c r="N132" s="65"/>
      <c r="O132" s="65"/>
      <c r="P132" s="65"/>
      <c r="Q132" s="65"/>
      <c r="R132" s="46"/>
      <c r="T132" s="70"/>
      <c r="U132" s="65"/>
      <c r="V132" s="46"/>
      <c r="W132" s="71"/>
      <c r="X132" s="65"/>
      <c r="Y132" s="65"/>
      <c r="Z132" s="65"/>
      <c r="AA132" s="46"/>
      <c r="AB132" s="72"/>
      <c r="AC132" s="65"/>
      <c r="AD132" s="46"/>
      <c r="AE132" s="71"/>
      <c r="AF132" s="65"/>
      <c r="AG132" s="65"/>
      <c r="AH132" s="65"/>
      <c r="AI132" s="65"/>
      <c r="AJ132" s="46"/>
    </row>
    <row r="133">
      <c r="B133" s="70"/>
      <c r="C133" s="65"/>
      <c r="D133" s="46"/>
      <c r="E133" s="71"/>
      <c r="F133" s="65"/>
      <c r="G133" s="65"/>
      <c r="H133" s="65"/>
      <c r="I133" s="46"/>
      <c r="J133" s="72"/>
      <c r="K133" s="65"/>
      <c r="L133" s="46"/>
      <c r="M133" s="71"/>
      <c r="N133" s="65"/>
      <c r="O133" s="65"/>
      <c r="P133" s="65"/>
      <c r="Q133" s="65"/>
      <c r="R133" s="46"/>
      <c r="T133" s="70"/>
      <c r="U133" s="65"/>
      <c r="V133" s="46"/>
      <c r="W133" s="71"/>
      <c r="X133" s="65"/>
      <c r="Y133" s="65"/>
      <c r="Z133" s="65"/>
      <c r="AA133" s="46"/>
      <c r="AB133" s="72"/>
      <c r="AC133" s="65"/>
      <c r="AD133" s="46"/>
      <c r="AE133" s="71"/>
      <c r="AF133" s="65"/>
      <c r="AG133" s="65"/>
      <c r="AH133" s="65"/>
      <c r="AI133" s="65"/>
      <c r="AJ133" s="46"/>
    </row>
    <row r="134">
      <c r="B134" s="70"/>
      <c r="C134" s="65"/>
      <c r="D134" s="46"/>
      <c r="E134" s="71"/>
      <c r="F134" s="65"/>
      <c r="G134" s="65"/>
      <c r="H134" s="65"/>
      <c r="I134" s="46"/>
      <c r="J134" s="72"/>
      <c r="K134" s="65"/>
      <c r="L134" s="46"/>
      <c r="M134" s="71"/>
      <c r="N134" s="65"/>
      <c r="O134" s="65"/>
      <c r="P134" s="65"/>
      <c r="Q134" s="65"/>
      <c r="R134" s="46"/>
      <c r="T134" s="70"/>
      <c r="U134" s="65"/>
      <c r="V134" s="46"/>
      <c r="W134" s="71"/>
      <c r="X134" s="65"/>
      <c r="Y134" s="65"/>
      <c r="Z134" s="65"/>
      <c r="AA134" s="46"/>
      <c r="AB134" s="72"/>
      <c r="AC134" s="65"/>
      <c r="AD134" s="46"/>
      <c r="AE134" s="71"/>
      <c r="AF134" s="65"/>
      <c r="AG134" s="65"/>
      <c r="AH134" s="65"/>
      <c r="AI134" s="65"/>
      <c r="AJ134" s="46"/>
    </row>
    <row r="135">
      <c r="B135" s="70"/>
      <c r="C135" s="65"/>
      <c r="D135" s="46"/>
      <c r="E135" s="71"/>
      <c r="F135" s="65"/>
      <c r="G135" s="65"/>
      <c r="H135" s="65"/>
      <c r="I135" s="46"/>
      <c r="J135" s="72"/>
      <c r="K135" s="65"/>
      <c r="L135" s="46"/>
      <c r="M135" s="71"/>
      <c r="N135" s="65"/>
      <c r="O135" s="65"/>
      <c r="P135" s="65"/>
      <c r="Q135" s="65"/>
      <c r="R135" s="46"/>
      <c r="T135" s="70"/>
      <c r="U135" s="65"/>
      <c r="V135" s="46"/>
      <c r="W135" s="71"/>
      <c r="X135" s="65"/>
      <c r="Y135" s="65"/>
      <c r="Z135" s="65"/>
      <c r="AA135" s="46"/>
      <c r="AB135" s="72"/>
      <c r="AC135" s="65"/>
      <c r="AD135" s="46"/>
      <c r="AE135" s="71"/>
      <c r="AF135" s="65"/>
      <c r="AG135" s="65"/>
      <c r="AH135" s="65"/>
      <c r="AI135" s="65"/>
      <c r="AJ135" s="46"/>
    </row>
    <row r="136">
      <c r="B136" s="70"/>
      <c r="C136" s="65"/>
      <c r="D136" s="46"/>
      <c r="E136" s="71"/>
      <c r="F136" s="65"/>
      <c r="G136" s="65"/>
      <c r="H136" s="65"/>
      <c r="I136" s="46"/>
      <c r="J136" s="72"/>
      <c r="K136" s="65"/>
      <c r="L136" s="46"/>
      <c r="M136" s="71"/>
      <c r="N136" s="65"/>
      <c r="O136" s="65"/>
      <c r="P136" s="65"/>
      <c r="Q136" s="65"/>
      <c r="R136" s="46"/>
      <c r="T136" s="70"/>
      <c r="U136" s="65"/>
      <c r="V136" s="46"/>
      <c r="W136" s="71"/>
      <c r="X136" s="65"/>
      <c r="Y136" s="65"/>
      <c r="Z136" s="65"/>
      <c r="AA136" s="46"/>
      <c r="AB136" s="72"/>
      <c r="AC136" s="65"/>
      <c r="AD136" s="46"/>
      <c r="AE136" s="71"/>
      <c r="AF136" s="65"/>
      <c r="AG136" s="65"/>
      <c r="AH136" s="65"/>
      <c r="AI136" s="65"/>
      <c r="AJ136" s="46"/>
    </row>
    <row r="137">
      <c r="B137" s="70"/>
      <c r="C137" s="65"/>
      <c r="D137" s="46"/>
      <c r="E137" s="71"/>
      <c r="F137" s="65"/>
      <c r="G137" s="65"/>
      <c r="H137" s="65"/>
      <c r="I137" s="46"/>
      <c r="J137" s="72"/>
      <c r="K137" s="65"/>
      <c r="L137" s="46"/>
      <c r="M137" s="71"/>
      <c r="N137" s="65"/>
      <c r="O137" s="65"/>
      <c r="P137" s="65"/>
      <c r="Q137" s="65"/>
      <c r="R137" s="46"/>
      <c r="T137" s="70"/>
      <c r="U137" s="65"/>
      <c r="V137" s="46"/>
      <c r="W137" s="71"/>
      <c r="X137" s="65"/>
      <c r="Y137" s="65"/>
      <c r="Z137" s="65"/>
      <c r="AA137" s="46"/>
      <c r="AB137" s="72"/>
      <c r="AC137" s="65"/>
      <c r="AD137" s="46"/>
      <c r="AE137" s="71"/>
      <c r="AF137" s="65"/>
      <c r="AG137" s="65"/>
      <c r="AH137" s="65"/>
      <c r="AI137" s="65"/>
      <c r="AJ137" s="46"/>
    </row>
    <row r="138">
      <c r="B138" s="70"/>
      <c r="C138" s="65"/>
      <c r="D138" s="46"/>
      <c r="E138" s="71"/>
      <c r="F138" s="65"/>
      <c r="G138" s="65"/>
      <c r="H138" s="65"/>
      <c r="I138" s="46"/>
      <c r="J138" s="72"/>
      <c r="K138" s="65"/>
      <c r="L138" s="46"/>
      <c r="M138" s="71"/>
      <c r="N138" s="65"/>
      <c r="O138" s="65"/>
      <c r="P138" s="65"/>
      <c r="Q138" s="65"/>
      <c r="R138" s="46"/>
      <c r="T138" s="70"/>
      <c r="U138" s="65"/>
      <c r="V138" s="46"/>
      <c r="W138" s="71"/>
      <c r="X138" s="65"/>
      <c r="Y138" s="65"/>
      <c r="Z138" s="65"/>
      <c r="AA138" s="46"/>
      <c r="AB138" s="72"/>
      <c r="AC138" s="65"/>
      <c r="AD138" s="46"/>
      <c r="AE138" s="71"/>
      <c r="AF138" s="65"/>
      <c r="AG138" s="65"/>
      <c r="AH138" s="65"/>
      <c r="AI138" s="65"/>
      <c r="AJ138" s="46"/>
    </row>
    <row r="139">
      <c r="B139" s="70"/>
      <c r="C139" s="65"/>
      <c r="D139" s="46"/>
      <c r="E139" s="71"/>
      <c r="F139" s="65"/>
      <c r="G139" s="65"/>
      <c r="H139" s="65"/>
      <c r="I139" s="46"/>
      <c r="J139" s="72"/>
      <c r="K139" s="65"/>
      <c r="L139" s="46"/>
      <c r="M139" s="71"/>
      <c r="N139" s="65"/>
      <c r="O139" s="65"/>
      <c r="P139" s="65"/>
      <c r="Q139" s="65"/>
      <c r="R139" s="46"/>
      <c r="T139" s="70"/>
      <c r="U139" s="65"/>
      <c r="V139" s="46"/>
      <c r="W139" s="71"/>
      <c r="X139" s="65"/>
      <c r="Y139" s="65"/>
      <c r="Z139" s="65"/>
      <c r="AA139" s="46"/>
      <c r="AB139" s="72"/>
      <c r="AC139" s="65"/>
      <c r="AD139" s="46"/>
      <c r="AE139" s="71"/>
      <c r="AF139" s="65"/>
      <c r="AG139" s="65"/>
      <c r="AH139" s="65"/>
      <c r="AI139" s="65"/>
      <c r="AJ139" s="46"/>
    </row>
    <row r="140">
      <c r="B140" s="70"/>
      <c r="C140" s="65"/>
      <c r="D140" s="46"/>
      <c r="E140" s="71"/>
      <c r="F140" s="65"/>
      <c r="G140" s="65"/>
      <c r="H140" s="65"/>
      <c r="I140" s="46"/>
      <c r="J140" s="72"/>
      <c r="K140" s="65"/>
      <c r="L140" s="46"/>
      <c r="M140" s="71"/>
      <c r="N140" s="65"/>
      <c r="O140" s="65"/>
      <c r="P140" s="65"/>
      <c r="Q140" s="65"/>
      <c r="R140" s="46"/>
      <c r="T140" s="70"/>
      <c r="U140" s="65"/>
      <c r="V140" s="46"/>
      <c r="W140" s="71"/>
      <c r="X140" s="65"/>
      <c r="Y140" s="65"/>
      <c r="Z140" s="65"/>
      <c r="AA140" s="46"/>
      <c r="AB140" s="72"/>
      <c r="AC140" s="65"/>
      <c r="AD140" s="46"/>
      <c r="AE140" s="71"/>
      <c r="AF140" s="65"/>
      <c r="AG140" s="65"/>
      <c r="AH140" s="65"/>
      <c r="AI140" s="65"/>
      <c r="AJ140" s="46"/>
    </row>
    <row r="141">
      <c r="B141" s="70"/>
      <c r="C141" s="65"/>
      <c r="D141" s="46"/>
      <c r="E141" s="71"/>
      <c r="F141" s="65"/>
      <c r="G141" s="65"/>
      <c r="H141" s="65"/>
      <c r="I141" s="46"/>
      <c r="J141" s="72"/>
      <c r="K141" s="65"/>
      <c r="L141" s="46"/>
      <c r="M141" s="71"/>
      <c r="N141" s="65"/>
      <c r="O141" s="65"/>
      <c r="P141" s="65"/>
      <c r="Q141" s="65"/>
      <c r="R141" s="46"/>
      <c r="T141" s="70"/>
      <c r="U141" s="65"/>
      <c r="V141" s="46"/>
      <c r="W141" s="71"/>
      <c r="X141" s="65"/>
      <c r="Y141" s="65"/>
      <c r="Z141" s="65"/>
      <c r="AA141" s="46"/>
      <c r="AB141" s="72"/>
      <c r="AC141" s="65"/>
      <c r="AD141" s="46"/>
      <c r="AE141" s="71"/>
      <c r="AF141" s="65"/>
      <c r="AG141" s="65"/>
      <c r="AH141" s="65"/>
      <c r="AI141" s="65"/>
      <c r="AJ141" s="46"/>
    </row>
    <row r="142">
      <c r="B142" s="70"/>
      <c r="C142" s="65"/>
      <c r="D142" s="46"/>
      <c r="E142" s="71"/>
      <c r="F142" s="65"/>
      <c r="G142" s="65"/>
      <c r="H142" s="65"/>
      <c r="I142" s="46"/>
      <c r="J142" s="72"/>
      <c r="K142" s="65"/>
      <c r="L142" s="46"/>
      <c r="M142" s="71"/>
      <c r="N142" s="65"/>
      <c r="O142" s="65"/>
      <c r="P142" s="65"/>
      <c r="Q142" s="65"/>
      <c r="R142" s="46"/>
      <c r="T142" s="70"/>
      <c r="U142" s="65"/>
      <c r="V142" s="46"/>
      <c r="W142" s="71"/>
      <c r="X142" s="65"/>
      <c r="Y142" s="65"/>
      <c r="Z142" s="65"/>
      <c r="AA142" s="46"/>
      <c r="AB142" s="72"/>
      <c r="AC142" s="65"/>
      <c r="AD142" s="46"/>
      <c r="AE142" s="71"/>
      <c r="AF142" s="65"/>
      <c r="AG142" s="65"/>
      <c r="AH142" s="65"/>
      <c r="AI142" s="65"/>
      <c r="AJ142" s="46"/>
    </row>
    <row r="143">
      <c r="B143" s="70"/>
      <c r="C143" s="65"/>
      <c r="D143" s="46"/>
      <c r="E143" s="71"/>
      <c r="F143" s="65"/>
      <c r="G143" s="65"/>
      <c r="H143" s="65"/>
      <c r="I143" s="46"/>
      <c r="J143" s="72"/>
      <c r="K143" s="65"/>
      <c r="L143" s="46"/>
      <c r="M143" s="71"/>
      <c r="N143" s="65"/>
      <c r="O143" s="65"/>
      <c r="P143" s="65"/>
      <c r="Q143" s="65"/>
      <c r="R143" s="46"/>
      <c r="T143" s="70"/>
      <c r="U143" s="65"/>
      <c r="V143" s="46"/>
      <c r="W143" s="71"/>
      <c r="X143" s="65"/>
      <c r="Y143" s="65"/>
      <c r="Z143" s="65"/>
      <c r="AA143" s="46"/>
      <c r="AB143" s="72"/>
      <c r="AC143" s="65"/>
      <c r="AD143" s="46"/>
      <c r="AE143" s="71"/>
      <c r="AF143" s="65"/>
      <c r="AG143" s="65"/>
      <c r="AH143" s="65"/>
      <c r="AI143" s="65"/>
      <c r="AJ143" s="46"/>
    </row>
  </sheetData>
  <mergeCells count="994">
    <mergeCell ref="E89:I89"/>
    <mergeCell ref="J89:L89"/>
    <mergeCell ref="M89:R89"/>
    <mergeCell ref="T89:V89"/>
    <mergeCell ref="W89:AA89"/>
    <mergeCell ref="AB89:AD89"/>
    <mergeCell ref="AE89:AJ89"/>
    <mergeCell ref="B89:D89"/>
    <mergeCell ref="B90:D90"/>
    <mergeCell ref="E90:I90"/>
    <mergeCell ref="J90:L90"/>
    <mergeCell ref="M90:R90"/>
    <mergeCell ref="T90:V90"/>
    <mergeCell ref="W90:AA90"/>
    <mergeCell ref="AB92:AD92"/>
    <mergeCell ref="AE92:AJ92"/>
    <mergeCell ref="B91:D91"/>
    <mergeCell ref="B92:D92"/>
    <mergeCell ref="E92:I92"/>
    <mergeCell ref="J92:L92"/>
    <mergeCell ref="M92:R92"/>
    <mergeCell ref="T92:V92"/>
    <mergeCell ref="W92:AA92"/>
    <mergeCell ref="E93:I93"/>
    <mergeCell ref="J93:L93"/>
    <mergeCell ref="M93:R93"/>
    <mergeCell ref="T93:V93"/>
    <mergeCell ref="W93:AA93"/>
    <mergeCell ref="AB93:AD93"/>
    <mergeCell ref="AE93:AJ93"/>
    <mergeCell ref="B93:D93"/>
    <mergeCell ref="B94:D94"/>
    <mergeCell ref="E94:I94"/>
    <mergeCell ref="J94:L94"/>
    <mergeCell ref="M94:R94"/>
    <mergeCell ref="T94:V94"/>
    <mergeCell ref="W94:AA94"/>
    <mergeCell ref="W95:AA95"/>
    <mergeCell ref="AB95:AD95"/>
    <mergeCell ref="AB94:AD94"/>
    <mergeCell ref="AE94:AJ94"/>
    <mergeCell ref="E95:I95"/>
    <mergeCell ref="J95:L95"/>
    <mergeCell ref="M95:R95"/>
    <mergeCell ref="T95:V95"/>
    <mergeCell ref="AE95:AJ95"/>
    <mergeCell ref="AB96:AD96"/>
    <mergeCell ref="AE96:AJ96"/>
    <mergeCell ref="B95:D95"/>
    <mergeCell ref="B96:D96"/>
    <mergeCell ref="E96:I96"/>
    <mergeCell ref="J96:L96"/>
    <mergeCell ref="M96:R96"/>
    <mergeCell ref="T96:V96"/>
    <mergeCell ref="W96:AA96"/>
    <mergeCell ref="E97:I97"/>
    <mergeCell ref="J97:L97"/>
    <mergeCell ref="M97:R97"/>
    <mergeCell ref="T97:V97"/>
    <mergeCell ref="W97:AA97"/>
    <mergeCell ref="AB97:AD97"/>
    <mergeCell ref="AE97:AJ97"/>
    <mergeCell ref="B97:D97"/>
    <mergeCell ref="B98:D98"/>
    <mergeCell ref="E98:I98"/>
    <mergeCell ref="J98:L98"/>
    <mergeCell ref="M98:R98"/>
    <mergeCell ref="T98:V98"/>
    <mergeCell ref="W98:AA98"/>
    <mergeCell ref="W99:AA99"/>
    <mergeCell ref="AB99:AD99"/>
    <mergeCell ref="AB98:AD98"/>
    <mergeCell ref="AE98:AJ98"/>
    <mergeCell ref="E99:I99"/>
    <mergeCell ref="J99:L99"/>
    <mergeCell ref="M99:R99"/>
    <mergeCell ref="T99:V99"/>
    <mergeCell ref="AE99:AJ99"/>
    <mergeCell ref="AB100:AD100"/>
    <mergeCell ref="AE100:AJ100"/>
    <mergeCell ref="B99:D99"/>
    <mergeCell ref="B100:D100"/>
    <mergeCell ref="E100:I100"/>
    <mergeCell ref="J100:L100"/>
    <mergeCell ref="M100:R100"/>
    <mergeCell ref="T100:V100"/>
    <mergeCell ref="W100:AA100"/>
    <mergeCell ref="E101:I101"/>
    <mergeCell ref="J101:L101"/>
    <mergeCell ref="M101:R101"/>
    <mergeCell ref="T101:V101"/>
    <mergeCell ref="W101:AA101"/>
    <mergeCell ref="AB101:AD101"/>
    <mergeCell ref="AE101:AJ101"/>
    <mergeCell ref="B101:D101"/>
    <mergeCell ref="B102:D102"/>
    <mergeCell ref="E102:I102"/>
    <mergeCell ref="J102:L102"/>
    <mergeCell ref="M102:R102"/>
    <mergeCell ref="T102:V102"/>
    <mergeCell ref="W102:AA102"/>
    <mergeCell ref="W103:AA103"/>
    <mergeCell ref="AB103:AD103"/>
    <mergeCell ref="AB102:AD102"/>
    <mergeCell ref="AE102:AJ102"/>
    <mergeCell ref="E103:I103"/>
    <mergeCell ref="J103:L103"/>
    <mergeCell ref="M103:R103"/>
    <mergeCell ref="T103:V103"/>
    <mergeCell ref="AE103:AJ103"/>
    <mergeCell ref="AB104:AD104"/>
    <mergeCell ref="AE104:AJ104"/>
    <mergeCell ref="B103:D103"/>
    <mergeCell ref="B104:D104"/>
    <mergeCell ref="E104:I104"/>
    <mergeCell ref="J104:L104"/>
    <mergeCell ref="M104:R104"/>
    <mergeCell ref="T104:V104"/>
    <mergeCell ref="W104:AA104"/>
    <mergeCell ref="E105:I105"/>
    <mergeCell ref="J105:L105"/>
    <mergeCell ref="M105:R105"/>
    <mergeCell ref="T105:V105"/>
    <mergeCell ref="W105:AA105"/>
    <mergeCell ref="AB105:AD105"/>
    <mergeCell ref="AE105:AJ105"/>
    <mergeCell ref="B105:D105"/>
    <mergeCell ref="B106:D106"/>
    <mergeCell ref="E106:I106"/>
    <mergeCell ref="J106:L106"/>
    <mergeCell ref="M106:R106"/>
    <mergeCell ref="T106:V106"/>
    <mergeCell ref="W106:AA106"/>
    <mergeCell ref="W107:AA107"/>
    <mergeCell ref="AB107:AD107"/>
    <mergeCell ref="AB106:AD106"/>
    <mergeCell ref="AE106:AJ106"/>
    <mergeCell ref="E107:I107"/>
    <mergeCell ref="J107:L107"/>
    <mergeCell ref="M107:R107"/>
    <mergeCell ref="T107:V107"/>
    <mergeCell ref="AE107:AJ107"/>
    <mergeCell ref="AB108:AD108"/>
    <mergeCell ref="AE108:AJ108"/>
    <mergeCell ref="B107:D107"/>
    <mergeCell ref="B108:D108"/>
    <mergeCell ref="E108:I108"/>
    <mergeCell ref="J108:L108"/>
    <mergeCell ref="M108:R108"/>
    <mergeCell ref="T108:V108"/>
    <mergeCell ref="W108:AA108"/>
    <mergeCell ref="E109:I109"/>
    <mergeCell ref="J109:L109"/>
    <mergeCell ref="M109:R109"/>
    <mergeCell ref="T109:V109"/>
    <mergeCell ref="W109:AA109"/>
    <mergeCell ref="AB109:AD109"/>
    <mergeCell ref="AE109:AJ109"/>
    <mergeCell ref="B109:D109"/>
    <mergeCell ref="B110:D110"/>
    <mergeCell ref="E110:I110"/>
    <mergeCell ref="J110:L110"/>
    <mergeCell ref="M110:R110"/>
    <mergeCell ref="T110:V110"/>
    <mergeCell ref="W110:AA110"/>
    <mergeCell ref="W111:AA111"/>
    <mergeCell ref="AB111:AD111"/>
    <mergeCell ref="AB110:AD110"/>
    <mergeCell ref="AE110:AJ110"/>
    <mergeCell ref="E111:I111"/>
    <mergeCell ref="J111:L111"/>
    <mergeCell ref="M111:R111"/>
    <mergeCell ref="T111:V111"/>
    <mergeCell ref="AE111:AJ111"/>
    <mergeCell ref="AB112:AD112"/>
    <mergeCell ref="AE112:AJ112"/>
    <mergeCell ref="B111:D111"/>
    <mergeCell ref="B112:D112"/>
    <mergeCell ref="E112:I112"/>
    <mergeCell ref="J112:L112"/>
    <mergeCell ref="M112:R112"/>
    <mergeCell ref="T112:V112"/>
    <mergeCell ref="W112:AA112"/>
    <mergeCell ref="E113:I113"/>
    <mergeCell ref="J113:L113"/>
    <mergeCell ref="M113:R113"/>
    <mergeCell ref="T113:V113"/>
    <mergeCell ref="W113:AA113"/>
    <mergeCell ref="AB113:AD113"/>
    <mergeCell ref="AE113:AJ113"/>
    <mergeCell ref="B113:D113"/>
    <mergeCell ref="B114:D114"/>
    <mergeCell ref="E114:I114"/>
    <mergeCell ref="J114:L114"/>
    <mergeCell ref="M114:R114"/>
    <mergeCell ref="T114:V114"/>
    <mergeCell ref="W114:AA114"/>
    <mergeCell ref="W115:AA115"/>
    <mergeCell ref="AB115:AD115"/>
    <mergeCell ref="AB114:AD114"/>
    <mergeCell ref="AE114:AJ114"/>
    <mergeCell ref="E115:I115"/>
    <mergeCell ref="J115:L115"/>
    <mergeCell ref="M115:R115"/>
    <mergeCell ref="T115:V115"/>
    <mergeCell ref="AE115:AJ115"/>
    <mergeCell ref="AB116:AD116"/>
    <mergeCell ref="AE116:AJ116"/>
    <mergeCell ref="B115:D115"/>
    <mergeCell ref="B116:D116"/>
    <mergeCell ref="E116:I116"/>
    <mergeCell ref="J116:L116"/>
    <mergeCell ref="M116:R116"/>
    <mergeCell ref="T116:V116"/>
    <mergeCell ref="W116:AA116"/>
    <mergeCell ref="W119:AA119"/>
    <mergeCell ref="AB119:AD119"/>
    <mergeCell ref="AB118:AD118"/>
    <mergeCell ref="AE118:AJ118"/>
    <mergeCell ref="E119:I119"/>
    <mergeCell ref="J119:L119"/>
    <mergeCell ref="M119:R119"/>
    <mergeCell ref="T119:V119"/>
    <mergeCell ref="AE119:AJ119"/>
    <mergeCell ref="E117:I117"/>
    <mergeCell ref="J117:L117"/>
    <mergeCell ref="M117:R117"/>
    <mergeCell ref="T117:V117"/>
    <mergeCell ref="W117:AA117"/>
    <mergeCell ref="AB117:AD117"/>
    <mergeCell ref="AE117:AJ117"/>
    <mergeCell ref="B117:D117"/>
    <mergeCell ref="B118:D118"/>
    <mergeCell ref="E118:I118"/>
    <mergeCell ref="J118:L118"/>
    <mergeCell ref="M118:R118"/>
    <mergeCell ref="T118:V118"/>
    <mergeCell ref="W118:AA118"/>
    <mergeCell ref="AB120:AD120"/>
    <mergeCell ref="AE120:AJ120"/>
    <mergeCell ref="B119:D119"/>
    <mergeCell ref="B120:D120"/>
    <mergeCell ref="E120:I120"/>
    <mergeCell ref="J120:L120"/>
    <mergeCell ref="M120:R120"/>
    <mergeCell ref="T120:V120"/>
    <mergeCell ref="W120:AA120"/>
    <mergeCell ref="E121:I121"/>
    <mergeCell ref="J121:L121"/>
    <mergeCell ref="M121:R121"/>
    <mergeCell ref="T121:V121"/>
    <mergeCell ref="W121:AA121"/>
    <mergeCell ref="AB121:AD121"/>
    <mergeCell ref="AE121:AJ121"/>
    <mergeCell ref="B121:D121"/>
    <mergeCell ref="B122:D122"/>
    <mergeCell ref="E122:I122"/>
    <mergeCell ref="J122:L122"/>
    <mergeCell ref="M122:R122"/>
    <mergeCell ref="T122:V122"/>
    <mergeCell ref="W122:AA122"/>
    <mergeCell ref="W123:AA123"/>
    <mergeCell ref="AB123:AD123"/>
    <mergeCell ref="AB122:AD122"/>
    <mergeCell ref="AE122:AJ122"/>
    <mergeCell ref="E123:I123"/>
    <mergeCell ref="J123:L123"/>
    <mergeCell ref="M123:R123"/>
    <mergeCell ref="T123:V123"/>
    <mergeCell ref="AE123:AJ123"/>
    <mergeCell ref="AB124:AD124"/>
    <mergeCell ref="AE124:AJ124"/>
    <mergeCell ref="B123:D123"/>
    <mergeCell ref="B124:D124"/>
    <mergeCell ref="E124:I124"/>
    <mergeCell ref="J124:L124"/>
    <mergeCell ref="M124:R124"/>
    <mergeCell ref="T124:V124"/>
    <mergeCell ref="W124:AA124"/>
    <mergeCell ref="E125:I125"/>
    <mergeCell ref="J125:L125"/>
    <mergeCell ref="M125:R125"/>
    <mergeCell ref="T125:V125"/>
    <mergeCell ref="W125:AA125"/>
    <mergeCell ref="AB125:AD125"/>
    <mergeCell ref="AE125:AJ125"/>
    <mergeCell ref="B125:D125"/>
    <mergeCell ref="B126:D126"/>
    <mergeCell ref="E126:I126"/>
    <mergeCell ref="J126:L126"/>
    <mergeCell ref="M126:R126"/>
    <mergeCell ref="T126:V126"/>
    <mergeCell ref="W126:AA126"/>
    <mergeCell ref="W127:AA127"/>
    <mergeCell ref="AB127:AD127"/>
    <mergeCell ref="AB126:AD126"/>
    <mergeCell ref="AE126:AJ126"/>
    <mergeCell ref="E127:I127"/>
    <mergeCell ref="J127:L127"/>
    <mergeCell ref="M127:R127"/>
    <mergeCell ref="T127:V127"/>
    <mergeCell ref="AE127:AJ127"/>
    <mergeCell ref="E137:I137"/>
    <mergeCell ref="J137:L137"/>
    <mergeCell ref="M137:R137"/>
    <mergeCell ref="T137:V137"/>
    <mergeCell ref="W137:AA137"/>
    <mergeCell ref="AB137:AD137"/>
    <mergeCell ref="AE137:AJ137"/>
    <mergeCell ref="B137:D137"/>
    <mergeCell ref="B138:D138"/>
    <mergeCell ref="E138:I138"/>
    <mergeCell ref="J138:L138"/>
    <mergeCell ref="M138:R138"/>
    <mergeCell ref="T138:V138"/>
    <mergeCell ref="W138:AA138"/>
    <mergeCell ref="W139:AA139"/>
    <mergeCell ref="AB139:AD139"/>
    <mergeCell ref="AB138:AD138"/>
    <mergeCell ref="AE138:AJ138"/>
    <mergeCell ref="E139:I139"/>
    <mergeCell ref="J139:L139"/>
    <mergeCell ref="M139:R139"/>
    <mergeCell ref="T139:V139"/>
    <mergeCell ref="AE139:AJ139"/>
    <mergeCell ref="AB140:AD140"/>
    <mergeCell ref="AE140:AJ140"/>
    <mergeCell ref="B139:D139"/>
    <mergeCell ref="B140:D140"/>
    <mergeCell ref="E140:I140"/>
    <mergeCell ref="J140:L140"/>
    <mergeCell ref="M140:R140"/>
    <mergeCell ref="T140:V140"/>
    <mergeCell ref="W140:AA140"/>
    <mergeCell ref="E141:I141"/>
    <mergeCell ref="J141:L141"/>
    <mergeCell ref="M141:R141"/>
    <mergeCell ref="T141:V141"/>
    <mergeCell ref="W141:AA141"/>
    <mergeCell ref="AB141:AD141"/>
    <mergeCell ref="AE141:AJ141"/>
    <mergeCell ref="B141:D141"/>
    <mergeCell ref="B142:D142"/>
    <mergeCell ref="E142:I142"/>
    <mergeCell ref="J142:L142"/>
    <mergeCell ref="M142:R142"/>
    <mergeCell ref="T142:V142"/>
    <mergeCell ref="W142:AA142"/>
    <mergeCell ref="Z27:AD27"/>
    <mergeCell ref="Z28:AD28"/>
    <mergeCell ref="Z29:AD29"/>
    <mergeCell ref="Z30:AD30"/>
    <mergeCell ref="AE30:AG30"/>
    <mergeCell ref="AH30:AJ30"/>
    <mergeCell ref="S27:U27"/>
    <mergeCell ref="V27:X27"/>
    <mergeCell ref="AE27:AG27"/>
    <mergeCell ref="AH27:AJ27"/>
    <mergeCell ref="N28:R28"/>
    <mergeCell ref="S28:U28"/>
    <mergeCell ref="V28:X28"/>
    <mergeCell ref="G29:I29"/>
    <mergeCell ref="J29:L29"/>
    <mergeCell ref="N29:R29"/>
    <mergeCell ref="S29:U29"/>
    <mergeCell ref="V29:X29"/>
    <mergeCell ref="AE29:AG29"/>
    <mergeCell ref="AH29:AJ29"/>
    <mergeCell ref="B29:F29"/>
    <mergeCell ref="B30:F30"/>
    <mergeCell ref="G30:I30"/>
    <mergeCell ref="J30:L30"/>
    <mergeCell ref="N30:R30"/>
    <mergeCell ref="S30:U30"/>
    <mergeCell ref="V30:X30"/>
    <mergeCell ref="AE31:AG31"/>
    <mergeCell ref="AH31:AJ31"/>
    <mergeCell ref="B31:F31"/>
    <mergeCell ref="G31:I31"/>
    <mergeCell ref="J31:L31"/>
    <mergeCell ref="N31:R31"/>
    <mergeCell ref="S31:U31"/>
    <mergeCell ref="V31:X31"/>
    <mergeCell ref="Z31:AD31"/>
    <mergeCell ref="W143:AA143"/>
    <mergeCell ref="AB143:AD143"/>
    <mergeCell ref="AB142:AD142"/>
    <mergeCell ref="AE142:AJ142"/>
    <mergeCell ref="B143:D143"/>
    <mergeCell ref="E143:I143"/>
    <mergeCell ref="J143:L143"/>
    <mergeCell ref="M143:R143"/>
    <mergeCell ref="T143:V143"/>
    <mergeCell ref="AE143:AJ143"/>
    <mergeCell ref="AB128:AD128"/>
    <mergeCell ref="AE128:AJ128"/>
    <mergeCell ref="B127:D127"/>
    <mergeCell ref="B128:D128"/>
    <mergeCell ref="E128:I128"/>
    <mergeCell ref="J128:L128"/>
    <mergeCell ref="M128:R128"/>
    <mergeCell ref="T128:V128"/>
    <mergeCell ref="W128:AA128"/>
    <mergeCell ref="E129:I129"/>
    <mergeCell ref="J129:L129"/>
    <mergeCell ref="M129:R129"/>
    <mergeCell ref="T129:V129"/>
    <mergeCell ref="W129:AA129"/>
    <mergeCell ref="AB129:AD129"/>
    <mergeCell ref="AE129:AJ129"/>
    <mergeCell ref="B129:D129"/>
    <mergeCell ref="B130:D130"/>
    <mergeCell ref="E130:I130"/>
    <mergeCell ref="J130:L130"/>
    <mergeCell ref="M130:R130"/>
    <mergeCell ref="T130:V130"/>
    <mergeCell ref="W130:AA130"/>
    <mergeCell ref="W131:AA131"/>
    <mergeCell ref="AB131:AD131"/>
    <mergeCell ref="AB130:AD130"/>
    <mergeCell ref="AE130:AJ130"/>
    <mergeCell ref="E131:I131"/>
    <mergeCell ref="J131:L131"/>
    <mergeCell ref="M131:R131"/>
    <mergeCell ref="T131:V131"/>
    <mergeCell ref="AE131:AJ131"/>
    <mergeCell ref="AB132:AD132"/>
    <mergeCell ref="AE132:AJ132"/>
    <mergeCell ref="B131:D131"/>
    <mergeCell ref="B132:D132"/>
    <mergeCell ref="E132:I132"/>
    <mergeCell ref="J132:L132"/>
    <mergeCell ref="M132:R132"/>
    <mergeCell ref="T132:V132"/>
    <mergeCell ref="W132:AA132"/>
    <mergeCell ref="E133:I133"/>
    <mergeCell ref="J133:L133"/>
    <mergeCell ref="M133:R133"/>
    <mergeCell ref="T133:V133"/>
    <mergeCell ref="W133:AA133"/>
    <mergeCell ref="AB133:AD133"/>
    <mergeCell ref="AE133:AJ133"/>
    <mergeCell ref="B133:D133"/>
    <mergeCell ref="B134:D134"/>
    <mergeCell ref="E134:I134"/>
    <mergeCell ref="J134:L134"/>
    <mergeCell ref="M134:R134"/>
    <mergeCell ref="T134:V134"/>
    <mergeCell ref="W134:AA134"/>
    <mergeCell ref="W135:AA135"/>
    <mergeCell ref="AB135:AD135"/>
    <mergeCell ref="AB134:AD134"/>
    <mergeCell ref="AE134:AJ134"/>
    <mergeCell ref="E135:I135"/>
    <mergeCell ref="J135:L135"/>
    <mergeCell ref="M135:R135"/>
    <mergeCell ref="T135:V135"/>
    <mergeCell ref="AE135:AJ135"/>
    <mergeCell ref="AB136:AD136"/>
    <mergeCell ref="AE136:AJ136"/>
    <mergeCell ref="B135:D135"/>
    <mergeCell ref="B136:D136"/>
    <mergeCell ref="E136:I136"/>
    <mergeCell ref="J136:L136"/>
    <mergeCell ref="M136:R136"/>
    <mergeCell ref="T136:V136"/>
    <mergeCell ref="W136:AA136"/>
    <mergeCell ref="S3:V3"/>
    <mergeCell ref="X3:AA3"/>
    <mergeCell ref="BA4:BE4"/>
    <mergeCell ref="BF4:BH4"/>
    <mergeCell ref="BA1:BK1"/>
    <mergeCell ref="BA2:BE2"/>
    <mergeCell ref="BF2:BH2"/>
    <mergeCell ref="BI2:BK2"/>
    <mergeCell ref="C3:G4"/>
    <mergeCell ref="N3:Q3"/>
    <mergeCell ref="BI3:BK3"/>
    <mergeCell ref="BI4:BK4"/>
    <mergeCell ref="BA6:BE6"/>
    <mergeCell ref="BA7:BE7"/>
    <mergeCell ref="BA8:BE8"/>
    <mergeCell ref="BA9:BE9"/>
    <mergeCell ref="BF9:BK9"/>
    <mergeCell ref="BA3:BE3"/>
    <mergeCell ref="BF3:BH3"/>
    <mergeCell ref="BA5:BE5"/>
    <mergeCell ref="BF5:BH5"/>
    <mergeCell ref="BI5:BK5"/>
    <mergeCell ref="BF6:BH6"/>
    <mergeCell ref="BI6:BK6"/>
    <mergeCell ref="N4:O4"/>
    <mergeCell ref="P4:Q4"/>
    <mergeCell ref="N5:O5"/>
    <mergeCell ref="P5:Q5"/>
    <mergeCell ref="S4:T4"/>
    <mergeCell ref="U4:V4"/>
    <mergeCell ref="S5:T5"/>
    <mergeCell ref="U5:V5"/>
    <mergeCell ref="N8:X8"/>
    <mergeCell ref="N26:X26"/>
    <mergeCell ref="N27:R27"/>
    <mergeCell ref="AC3:AD3"/>
    <mergeCell ref="AF3:AI3"/>
    <mergeCell ref="X4:Y4"/>
    <mergeCell ref="Z4:AA4"/>
    <mergeCell ref="AC4:AD5"/>
    <mergeCell ref="X5:Y5"/>
    <mergeCell ref="Z5:AA5"/>
    <mergeCell ref="AF4:AG4"/>
    <mergeCell ref="AH4:AI4"/>
    <mergeCell ref="AF5:AG5"/>
    <mergeCell ref="AH5:AI5"/>
    <mergeCell ref="Z8:AJ8"/>
    <mergeCell ref="Z26:AJ26"/>
    <mergeCell ref="BF7:BK7"/>
    <mergeCell ref="BF8:BK8"/>
    <mergeCell ref="B8:L8"/>
    <mergeCell ref="B26:L26"/>
    <mergeCell ref="B27:F27"/>
    <mergeCell ref="G27:I27"/>
    <mergeCell ref="J27:L27"/>
    <mergeCell ref="B28:F28"/>
    <mergeCell ref="G28:I28"/>
    <mergeCell ref="J28:L28"/>
    <mergeCell ref="I3:L3"/>
    <mergeCell ref="I4:J4"/>
    <mergeCell ref="K4:L4"/>
    <mergeCell ref="C5:E5"/>
    <mergeCell ref="F5:G5"/>
    <mergeCell ref="I5:J5"/>
    <mergeCell ref="K5:L5"/>
    <mergeCell ref="AE28:AG28"/>
    <mergeCell ref="AH28:AJ28"/>
    <mergeCell ref="AE32:AG32"/>
    <mergeCell ref="AH32:AJ32"/>
    <mergeCell ref="B32:F32"/>
    <mergeCell ref="G32:I32"/>
    <mergeCell ref="J32:L32"/>
    <mergeCell ref="N32:R32"/>
    <mergeCell ref="S32:U32"/>
    <mergeCell ref="V32:X32"/>
    <mergeCell ref="Z32:AD32"/>
    <mergeCell ref="AE33:AG33"/>
    <mergeCell ref="AH33:AJ33"/>
    <mergeCell ref="B33:F33"/>
    <mergeCell ref="G33:I33"/>
    <mergeCell ref="J33:L33"/>
    <mergeCell ref="N33:R33"/>
    <mergeCell ref="S33:U33"/>
    <mergeCell ref="V33:X33"/>
    <mergeCell ref="Z33:AD33"/>
    <mergeCell ref="AE34:AG34"/>
    <mergeCell ref="AH34:AJ34"/>
    <mergeCell ref="B34:F34"/>
    <mergeCell ref="G34:I34"/>
    <mergeCell ref="J34:L34"/>
    <mergeCell ref="N34:R34"/>
    <mergeCell ref="S34:U34"/>
    <mergeCell ref="V34:X34"/>
    <mergeCell ref="Z34:AD34"/>
    <mergeCell ref="AE35:AG35"/>
    <mergeCell ref="AH35:AJ35"/>
    <mergeCell ref="B35:F35"/>
    <mergeCell ref="G35:I35"/>
    <mergeCell ref="J35:L35"/>
    <mergeCell ref="N35:R35"/>
    <mergeCell ref="S35:U35"/>
    <mergeCell ref="V35:X35"/>
    <mergeCell ref="Z35:AD35"/>
    <mergeCell ref="AE36:AG36"/>
    <mergeCell ref="AH36:AJ36"/>
    <mergeCell ref="B36:F36"/>
    <mergeCell ref="G36:I36"/>
    <mergeCell ref="J36:L36"/>
    <mergeCell ref="N36:R36"/>
    <mergeCell ref="S36:U36"/>
    <mergeCell ref="V36:X36"/>
    <mergeCell ref="Z36:AD36"/>
    <mergeCell ref="AE37:AG37"/>
    <mergeCell ref="AH37:AJ37"/>
    <mergeCell ref="B37:F37"/>
    <mergeCell ref="G37:I37"/>
    <mergeCell ref="J37:L37"/>
    <mergeCell ref="N37:R37"/>
    <mergeCell ref="S37:U37"/>
    <mergeCell ref="V37:X37"/>
    <mergeCell ref="Z37:AD37"/>
    <mergeCell ref="AE38:AG38"/>
    <mergeCell ref="AH38:AJ38"/>
    <mergeCell ref="B38:F38"/>
    <mergeCell ref="G38:I38"/>
    <mergeCell ref="J38:L38"/>
    <mergeCell ref="N38:R38"/>
    <mergeCell ref="S38:U38"/>
    <mergeCell ref="V38:X38"/>
    <mergeCell ref="Z38:AD38"/>
    <mergeCell ref="AE39:AG39"/>
    <mergeCell ref="AH39:AJ39"/>
    <mergeCell ref="B39:F39"/>
    <mergeCell ref="G39:I39"/>
    <mergeCell ref="J39:L39"/>
    <mergeCell ref="N39:R39"/>
    <mergeCell ref="S39:U39"/>
    <mergeCell ref="V39:X39"/>
    <mergeCell ref="Z39:AD39"/>
    <mergeCell ref="AE40:AG40"/>
    <mergeCell ref="AH40:AJ40"/>
    <mergeCell ref="B40:F40"/>
    <mergeCell ref="G40:I40"/>
    <mergeCell ref="J40:L40"/>
    <mergeCell ref="N40:R40"/>
    <mergeCell ref="S40:U40"/>
    <mergeCell ref="V40:X40"/>
    <mergeCell ref="Z40:AD40"/>
    <mergeCell ref="W43:AA43"/>
    <mergeCell ref="AB43:AD43"/>
    <mergeCell ref="B42:R42"/>
    <mergeCell ref="T42:AJ42"/>
    <mergeCell ref="E43:I43"/>
    <mergeCell ref="J43:L43"/>
    <mergeCell ref="M43:R43"/>
    <mergeCell ref="T43:V43"/>
    <mergeCell ref="AE43:AJ43"/>
    <mergeCell ref="AB44:AD44"/>
    <mergeCell ref="AE44:AJ44"/>
    <mergeCell ref="B43:D43"/>
    <mergeCell ref="B44:D44"/>
    <mergeCell ref="E44:I44"/>
    <mergeCell ref="J44:L44"/>
    <mergeCell ref="M44:R44"/>
    <mergeCell ref="T44:V44"/>
    <mergeCell ref="W44:AA44"/>
    <mergeCell ref="E45:I45"/>
    <mergeCell ref="J45:L45"/>
    <mergeCell ref="M45:R45"/>
    <mergeCell ref="T45:V45"/>
    <mergeCell ref="W45:AA45"/>
    <mergeCell ref="AB45:AD45"/>
    <mergeCell ref="AE45:AJ45"/>
    <mergeCell ref="B45:D45"/>
    <mergeCell ref="B46:D46"/>
    <mergeCell ref="E46:I46"/>
    <mergeCell ref="J46:L46"/>
    <mergeCell ref="M46:R46"/>
    <mergeCell ref="T46:V46"/>
    <mergeCell ref="W46:AA46"/>
    <mergeCell ref="W47:AA47"/>
    <mergeCell ref="AB47:AD47"/>
    <mergeCell ref="AB46:AD46"/>
    <mergeCell ref="AE46:AJ46"/>
    <mergeCell ref="E47:I47"/>
    <mergeCell ref="J47:L47"/>
    <mergeCell ref="M47:R47"/>
    <mergeCell ref="T47:V47"/>
    <mergeCell ref="AE47:AJ47"/>
    <mergeCell ref="AB48:AD48"/>
    <mergeCell ref="AE48:AJ48"/>
    <mergeCell ref="B47:D47"/>
    <mergeCell ref="B48:D48"/>
    <mergeCell ref="E48:I48"/>
    <mergeCell ref="J48:L48"/>
    <mergeCell ref="M48:R48"/>
    <mergeCell ref="T48:V48"/>
    <mergeCell ref="W48:AA48"/>
    <mergeCell ref="E49:I49"/>
    <mergeCell ref="J49:L49"/>
    <mergeCell ref="M49:R49"/>
    <mergeCell ref="T49:V49"/>
    <mergeCell ref="W49:AA49"/>
    <mergeCell ref="AB49:AD49"/>
    <mergeCell ref="AE49:AJ49"/>
    <mergeCell ref="B49:D49"/>
    <mergeCell ref="B50:D50"/>
    <mergeCell ref="E50:I50"/>
    <mergeCell ref="J50:L50"/>
    <mergeCell ref="M50:R50"/>
    <mergeCell ref="T50:V50"/>
    <mergeCell ref="W50:AA50"/>
    <mergeCell ref="W51:AA51"/>
    <mergeCell ref="AB51:AD51"/>
    <mergeCell ref="AB50:AD50"/>
    <mergeCell ref="AE50:AJ50"/>
    <mergeCell ref="E51:I51"/>
    <mergeCell ref="J51:L51"/>
    <mergeCell ref="M51:R51"/>
    <mergeCell ref="T51:V51"/>
    <mergeCell ref="AE51:AJ51"/>
    <mergeCell ref="AB52:AD52"/>
    <mergeCell ref="AE52:AJ52"/>
    <mergeCell ref="B51:D51"/>
    <mergeCell ref="B52:D52"/>
    <mergeCell ref="E52:I52"/>
    <mergeCell ref="J52:L52"/>
    <mergeCell ref="M52:R52"/>
    <mergeCell ref="T52:V52"/>
    <mergeCell ref="W52:AA52"/>
    <mergeCell ref="E53:I53"/>
    <mergeCell ref="J53:L53"/>
    <mergeCell ref="M53:R53"/>
    <mergeCell ref="T53:V53"/>
    <mergeCell ref="W53:AA53"/>
    <mergeCell ref="AB53:AD53"/>
    <mergeCell ref="AE53:AJ53"/>
    <mergeCell ref="B53:D53"/>
    <mergeCell ref="B54:D54"/>
    <mergeCell ref="E54:I54"/>
    <mergeCell ref="J54:L54"/>
    <mergeCell ref="M54:R54"/>
    <mergeCell ref="T54:V54"/>
    <mergeCell ref="W54:AA54"/>
    <mergeCell ref="W55:AA55"/>
    <mergeCell ref="AB55:AD55"/>
    <mergeCell ref="AB54:AD54"/>
    <mergeCell ref="AE54:AJ54"/>
    <mergeCell ref="E55:I55"/>
    <mergeCell ref="J55:L55"/>
    <mergeCell ref="M55:R55"/>
    <mergeCell ref="T55:V55"/>
    <mergeCell ref="AE55:AJ55"/>
    <mergeCell ref="AB56:AD56"/>
    <mergeCell ref="AE56:AJ56"/>
    <mergeCell ref="B55:D55"/>
    <mergeCell ref="B56:D56"/>
    <mergeCell ref="E56:I56"/>
    <mergeCell ref="J56:L56"/>
    <mergeCell ref="M56:R56"/>
    <mergeCell ref="T56:V56"/>
    <mergeCell ref="W56:AA56"/>
    <mergeCell ref="E57:I57"/>
    <mergeCell ref="J57:L57"/>
    <mergeCell ref="M57:R57"/>
    <mergeCell ref="T57:V57"/>
    <mergeCell ref="W57:AA57"/>
    <mergeCell ref="AB57:AD57"/>
    <mergeCell ref="AE57:AJ57"/>
    <mergeCell ref="B57:D57"/>
    <mergeCell ref="B58:D58"/>
    <mergeCell ref="E58:I58"/>
    <mergeCell ref="J58:L58"/>
    <mergeCell ref="M58:R58"/>
    <mergeCell ref="T58:V58"/>
    <mergeCell ref="W58:AA58"/>
    <mergeCell ref="W59:AA59"/>
    <mergeCell ref="AB59:AD59"/>
    <mergeCell ref="AB58:AD58"/>
    <mergeCell ref="AE58:AJ58"/>
    <mergeCell ref="E59:I59"/>
    <mergeCell ref="J59:L59"/>
    <mergeCell ref="M59:R59"/>
    <mergeCell ref="T59:V59"/>
    <mergeCell ref="AE59:AJ59"/>
    <mergeCell ref="AB60:AD60"/>
    <mergeCell ref="AE60:AJ60"/>
    <mergeCell ref="B59:D59"/>
    <mergeCell ref="B60:D60"/>
    <mergeCell ref="E60:I60"/>
    <mergeCell ref="J60:L60"/>
    <mergeCell ref="M60:R60"/>
    <mergeCell ref="T60:V60"/>
    <mergeCell ref="W60:AA60"/>
    <mergeCell ref="W63:AA63"/>
    <mergeCell ref="AB63:AD63"/>
    <mergeCell ref="AB62:AD62"/>
    <mergeCell ref="AE62:AJ62"/>
    <mergeCell ref="E63:I63"/>
    <mergeCell ref="J63:L63"/>
    <mergeCell ref="M63:R63"/>
    <mergeCell ref="T63:V63"/>
    <mergeCell ref="AE63:AJ63"/>
    <mergeCell ref="E61:I61"/>
    <mergeCell ref="J61:L61"/>
    <mergeCell ref="M61:R61"/>
    <mergeCell ref="T61:V61"/>
    <mergeCell ref="W61:AA61"/>
    <mergeCell ref="AB61:AD61"/>
    <mergeCell ref="AE61:AJ61"/>
    <mergeCell ref="B61:D61"/>
    <mergeCell ref="B62:D62"/>
    <mergeCell ref="E62:I62"/>
    <mergeCell ref="J62:L62"/>
    <mergeCell ref="M62:R62"/>
    <mergeCell ref="T62:V62"/>
    <mergeCell ref="W62:AA62"/>
    <mergeCell ref="AB64:AD64"/>
    <mergeCell ref="AE64:AJ64"/>
    <mergeCell ref="B63:D63"/>
    <mergeCell ref="B64:D64"/>
    <mergeCell ref="E64:I64"/>
    <mergeCell ref="J64:L64"/>
    <mergeCell ref="M64:R64"/>
    <mergeCell ref="T64:V64"/>
    <mergeCell ref="W64:AA64"/>
    <mergeCell ref="E65:I65"/>
    <mergeCell ref="J65:L65"/>
    <mergeCell ref="M65:R65"/>
    <mergeCell ref="T65:V65"/>
    <mergeCell ref="W65:AA65"/>
    <mergeCell ref="AB65:AD65"/>
    <mergeCell ref="AE65:AJ65"/>
    <mergeCell ref="B65:D65"/>
    <mergeCell ref="B66:D66"/>
    <mergeCell ref="E66:I66"/>
    <mergeCell ref="J66:L66"/>
    <mergeCell ref="M66:R66"/>
    <mergeCell ref="T66:V66"/>
    <mergeCell ref="W66:AA66"/>
    <mergeCell ref="W67:AA67"/>
    <mergeCell ref="AB67:AD67"/>
    <mergeCell ref="AB66:AD66"/>
    <mergeCell ref="AE66:AJ66"/>
    <mergeCell ref="E67:I67"/>
    <mergeCell ref="J67:L67"/>
    <mergeCell ref="M67:R67"/>
    <mergeCell ref="T67:V67"/>
    <mergeCell ref="AE67:AJ67"/>
    <mergeCell ref="AB68:AD68"/>
    <mergeCell ref="AE68:AJ68"/>
    <mergeCell ref="B67:D67"/>
    <mergeCell ref="B68:D68"/>
    <mergeCell ref="E68:I68"/>
    <mergeCell ref="J68:L68"/>
    <mergeCell ref="M68:R68"/>
    <mergeCell ref="T68:V68"/>
    <mergeCell ref="W68:AA68"/>
    <mergeCell ref="E69:I69"/>
    <mergeCell ref="J69:L69"/>
    <mergeCell ref="M69:R69"/>
    <mergeCell ref="T69:V69"/>
    <mergeCell ref="W69:AA69"/>
    <mergeCell ref="AB69:AD69"/>
    <mergeCell ref="AE69:AJ69"/>
    <mergeCell ref="B69:D69"/>
    <mergeCell ref="B70:D70"/>
    <mergeCell ref="E70:I70"/>
    <mergeCell ref="J70:L70"/>
    <mergeCell ref="M70:R70"/>
    <mergeCell ref="T70:V70"/>
    <mergeCell ref="W70:AA70"/>
    <mergeCell ref="W71:AA71"/>
    <mergeCell ref="AB71:AD71"/>
    <mergeCell ref="AB70:AD70"/>
    <mergeCell ref="AE70:AJ70"/>
    <mergeCell ref="E71:I71"/>
    <mergeCell ref="J71:L71"/>
    <mergeCell ref="M71:R71"/>
    <mergeCell ref="T71:V71"/>
    <mergeCell ref="AE71:AJ71"/>
    <mergeCell ref="AB72:AD72"/>
    <mergeCell ref="AE72:AJ72"/>
    <mergeCell ref="B71:D71"/>
    <mergeCell ref="B72:D72"/>
    <mergeCell ref="E72:I72"/>
    <mergeCell ref="J72:L72"/>
    <mergeCell ref="M72:R72"/>
    <mergeCell ref="T72:V72"/>
    <mergeCell ref="W72:AA72"/>
    <mergeCell ref="E73:I73"/>
    <mergeCell ref="J73:L73"/>
    <mergeCell ref="M73:R73"/>
    <mergeCell ref="T73:V73"/>
    <mergeCell ref="W73:AA73"/>
    <mergeCell ref="AB73:AD73"/>
    <mergeCell ref="AE73:AJ73"/>
    <mergeCell ref="B73:D73"/>
    <mergeCell ref="B74:D74"/>
    <mergeCell ref="E74:I74"/>
    <mergeCell ref="J74:L74"/>
    <mergeCell ref="M74:R74"/>
    <mergeCell ref="T74:V74"/>
    <mergeCell ref="W74:AA74"/>
    <mergeCell ref="W75:AA75"/>
    <mergeCell ref="AB75:AD75"/>
    <mergeCell ref="AB74:AD74"/>
    <mergeCell ref="AE74:AJ74"/>
    <mergeCell ref="E75:I75"/>
    <mergeCell ref="J75:L75"/>
    <mergeCell ref="M75:R75"/>
    <mergeCell ref="T75:V75"/>
    <mergeCell ref="AE75:AJ75"/>
    <mergeCell ref="AB76:AD76"/>
    <mergeCell ref="AE76:AJ76"/>
    <mergeCell ref="B75:D75"/>
    <mergeCell ref="B76:D76"/>
    <mergeCell ref="E76:I76"/>
    <mergeCell ref="J76:L76"/>
    <mergeCell ref="M76:R76"/>
    <mergeCell ref="T76:V76"/>
    <mergeCell ref="W76:AA76"/>
    <mergeCell ref="E77:I77"/>
    <mergeCell ref="J77:L77"/>
    <mergeCell ref="M77:R77"/>
    <mergeCell ref="T77:V77"/>
    <mergeCell ref="W77:AA77"/>
    <mergeCell ref="AB77:AD77"/>
    <mergeCell ref="AE77:AJ77"/>
    <mergeCell ref="B77:D77"/>
    <mergeCell ref="B78:D78"/>
    <mergeCell ref="E78:I78"/>
    <mergeCell ref="J78:L78"/>
    <mergeCell ref="M78:R78"/>
    <mergeCell ref="T78:V78"/>
    <mergeCell ref="W78:AA78"/>
    <mergeCell ref="W79:AA79"/>
    <mergeCell ref="AB79:AD79"/>
    <mergeCell ref="AB78:AD78"/>
    <mergeCell ref="AE78:AJ78"/>
    <mergeCell ref="E79:I79"/>
    <mergeCell ref="J79:L79"/>
    <mergeCell ref="M79:R79"/>
    <mergeCell ref="T79:V79"/>
    <mergeCell ref="AE79:AJ79"/>
    <mergeCell ref="AB80:AD80"/>
    <mergeCell ref="AE80:AJ80"/>
    <mergeCell ref="B79:D79"/>
    <mergeCell ref="B80:D80"/>
    <mergeCell ref="E80:I80"/>
    <mergeCell ref="J80:L80"/>
    <mergeCell ref="M80:R80"/>
    <mergeCell ref="T80:V80"/>
    <mergeCell ref="W80:AA80"/>
    <mergeCell ref="E81:I81"/>
    <mergeCell ref="J81:L81"/>
    <mergeCell ref="M81:R81"/>
    <mergeCell ref="T81:V81"/>
    <mergeCell ref="W81:AA81"/>
    <mergeCell ref="AB81:AD81"/>
    <mergeCell ref="AE81:AJ81"/>
    <mergeCell ref="B81:D81"/>
    <mergeCell ref="B82:D82"/>
    <mergeCell ref="E82:I82"/>
    <mergeCell ref="J82:L82"/>
    <mergeCell ref="M82:R82"/>
    <mergeCell ref="T82:V82"/>
    <mergeCell ref="W82:AA82"/>
    <mergeCell ref="W83:AA83"/>
    <mergeCell ref="AB83:AD83"/>
    <mergeCell ref="AB82:AD82"/>
    <mergeCell ref="AE82:AJ82"/>
    <mergeCell ref="E83:I83"/>
    <mergeCell ref="J83:L83"/>
    <mergeCell ref="M83:R83"/>
    <mergeCell ref="T83:V83"/>
    <mergeCell ref="AE83:AJ83"/>
    <mergeCell ref="AB84:AD84"/>
    <mergeCell ref="AE84:AJ84"/>
    <mergeCell ref="B83:D83"/>
    <mergeCell ref="B84:D84"/>
    <mergeCell ref="E84:I84"/>
    <mergeCell ref="J84:L84"/>
    <mergeCell ref="M84:R84"/>
    <mergeCell ref="T84:V84"/>
    <mergeCell ref="W84:AA84"/>
    <mergeCell ref="E85:I85"/>
    <mergeCell ref="J85:L85"/>
    <mergeCell ref="M85:R85"/>
    <mergeCell ref="T85:V85"/>
    <mergeCell ref="W85:AA85"/>
    <mergeCell ref="AB85:AD85"/>
    <mergeCell ref="AE85:AJ85"/>
    <mergeCell ref="B85:D85"/>
    <mergeCell ref="B86:D86"/>
    <mergeCell ref="E86:I86"/>
    <mergeCell ref="J86:L86"/>
    <mergeCell ref="M86:R86"/>
    <mergeCell ref="T86:V86"/>
    <mergeCell ref="W86:AA86"/>
    <mergeCell ref="W87:AA87"/>
    <mergeCell ref="AB87:AD87"/>
    <mergeCell ref="AB86:AD86"/>
    <mergeCell ref="AE86:AJ86"/>
    <mergeCell ref="E87:I87"/>
    <mergeCell ref="J87:L87"/>
    <mergeCell ref="M87:R87"/>
    <mergeCell ref="T87:V87"/>
    <mergeCell ref="AE87:AJ87"/>
    <mergeCell ref="AB88:AD88"/>
    <mergeCell ref="AE88:AJ88"/>
    <mergeCell ref="B87:D87"/>
    <mergeCell ref="B88:D88"/>
    <mergeCell ref="E88:I88"/>
    <mergeCell ref="J88:L88"/>
    <mergeCell ref="M88:R88"/>
    <mergeCell ref="T88:V88"/>
    <mergeCell ref="W88:AA88"/>
    <mergeCell ref="W91:AA91"/>
    <mergeCell ref="AB91:AD91"/>
    <mergeCell ref="AB90:AD90"/>
    <mergeCell ref="AE90:AJ90"/>
    <mergeCell ref="E91:I91"/>
    <mergeCell ref="J91:L91"/>
    <mergeCell ref="M91:R91"/>
    <mergeCell ref="T91:V91"/>
    <mergeCell ref="AE91:AJ91"/>
  </mergeCells>
  <conditionalFormatting sqref="AC4:AD5 AE40:AG40">
    <cfRule type="cellIs" dxfId="0" priority="1" operator="greaterThan">
      <formula>0</formula>
    </cfRule>
  </conditionalFormatting>
  <dataValidations>
    <dataValidation type="list" allowBlank="1" showErrorMessage="1" sqref="B28:B39">
      <formula1>Dec!$AR$1:$AR$34</formula1>
    </dataValidation>
    <dataValidation type="list" allowBlank="1" showErrorMessage="1" sqref="Z28:Z39">
      <formula1>Dec!$AR$35:$AR$64</formula1>
    </dataValidation>
    <dataValidation type="list" allowBlank="1" showErrorMessage="1" sqref="W44:W143">
      <formula1>Dec!$AV$1:$AV$34</formula1>
    </dataValidation>
    <dataValidation type="list" allowBlank="1" showErrorMessage="1" sqref="N28:N39">
      <formula1>Dec!$AV$1:$AV$34</formula1>
    </dataValidation>
    <dataValidation type="list" allowBlank="1" showErrorMessage="1" sqref="E44:E143">
      <formula1>Dec!$AR$1:$AR$64</formula1>
    </dataValidation>
  </dataValidations>
  <drawing r:id="rId1"/>
</worksheet>
</file>